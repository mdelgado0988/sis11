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Proyectos\Global\Documentación\Brechas\"/>
    </mc:Choice>
  </mc:AlternateContent>
  <xr:revisionPtr revIDLastSave="0" documentId="13_ncr:1_{B0315348-7D7D-4B9B-9BB3-93BB6C62ACB5}" xr6:coauthVersionLast="47" xr6:coauthVersionMax="47" xr10:uidLastSave="{00000000-0000-0000-0000-000000000000}"/>
  <bookViews>
    <workbookView xWindow="-120" yWindow="-120" windowWidth="20730" windowHeight="11040" xr2:uid="{55631BAB-3F43-4C4D-BEDF-0998D0E484F9}"/>
  </bookViews>
  <sheets>
    <sheet name="Fianza - Emision" sheetId="3" r:id="rId1"/>
    <sheet name="Fianza-Endoso" sheetId="6" r:id="rId2"/>
    <sheet name="Fianza - Reaseguro" sheetId="4" r:id="rId3"/>
    <sheet name="Fianza - Contacto" sheetId="5" r:id="rId4"/>
    <sheet name="Fianzas - Siniestro" sheetId="7" r:id="rId5"/>
    <sheet name="Fianza - Contabilidad" sheetId="10" r:id="rId6"/>
    <sheet name="EjemploCumulo" sheetId="2" r:id="rId7"/>
    <sheet name="Notas" sheetId="1" r:id="rId8"/>
    <sheet name="Reportes matriz" sheetId="1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2" l="1"/>
  <c r="B14" i="2"/>
</calcChain>
</file>

<file path=xl/sharedStrings.xml><?xml version="1.0" encoding="utf-8"?>
<sst xmlns="http://schemas.openxmlformats.org/spreadsheetml/2006/main" count="996" uniqueCount="266">
  <si>
    <t>Agregar opción de gestión de coberturas</t>
  </si>
  <si>
    <t>Distribución de cúmulo por rango de suma afianzada</t>
  </si>
  <si>
    <t>Ver distribución cuando se modifica la suma asegurada</t>
  </si>
  <si>
    <t>Coaseguro</t>
  </si>
  <si>
    <t>Habilitar coaseguro</t>
  </si>
  <si>
    <t>Ver en distribución</t>
  </si>
  <si>
    <t>Ver contabilización</t>
  </si>
  <si>
    <t>Gastos del manejo del coaseguro</t>
  </si>
  <si>
    <t>Documento</t>
  </si>
  <si>
    <t>LÍMITE MÁXIMO DE RESPONSABILIDAD</t>
  </si>
  <si>
    <t>Numero y letras</t>
  </si>
  <si>
    <t>Observacion</t>
  </si>
  <si>
    <t>VIGENCIA: día</t>
  </si>
  <si>
    <t>días de la vigencia cob princiopal</t>
  </si>
  <si>
    <t>Documentos</t>
  </si>
  <si>
    <t>Factura</t>
  </si>
  <si>
    <t>Recibo</t>
  </si>
  <si>
    <t>Oferta</t>
  </si>
  <si>
    <t>Documento fianza</t>
  </si>
  <si>
    <t>Revisar formato</t>
  </si>
  <si>
    <t>poliza_fianzas  &gt; Factura</t>
  </si>
  <si>
    <t>recibo</t>
  </si>
  <si>
    <t xml:space="preserve">oferta_fianzas                                                                                                                                        </t>
  </si>
  <si>
    <t xml:space="preserve">Doc. de oferta de fianzas (Construcción)                                                                                                                                                                                                                                                                    </t>
  </si>
  <si>
    <t xml:space="preserve">Contrato de Fianza                                                                                                                                                                                                                                                                                          </t>
  </si>
  <si>
    <t>Coaseguro con banco</t>
  </si>
  <si>
    <t>Impuesto</t>
  </si>
  <si>
    <t>7% de impuesto</t>
  </si>
  <si>
    <t>Segregado</t>
  </si>
  <si>
    <t>5% de prima normal</t>
  </si>
  <si>
    <t>7% de prima correspondiente al coaseguro</t>
  </si>
  <si>
    <t>Desglosar impuestos</t>
  </si>
  <si>
    <t>Empresa</t>
  </si>
  <si>
    <t>Empresa 1</t>
  </si>
  <si>
    <t>Empresa 2</t>
  </si>
  <si>
    <t>Empresa 3</t>
  </si>
  <si>
    <t>GEC</t>
  </si>
  <si>
    <t>-</t>
  </si>
  <si>
    <t>Grupo 2</t>
  </si>
  <si>
    <t>Grupo1</t>
  </si>
  <si>
    <t>Grupo 1</t>
  </si>
  <si>
    <t>Consorcio</t>
  </si>
  <si>
    <t>Juan</t>
  </si>
  <si>
    <t>Pedro</t>
  </si>
  <si>
    <t>Mario</t>
  </si>
  <si>
    <t>Maria</t>
  </si>
  <si>
    <t>Poliza</t>
  </si>
  <si>
    <t>Cliente</t>
  </si>
  <si>
    <t>El consorcio debe evaluar el GEC de cada empresa incluida dentro de él</t>
  </si>
  <si>
    <t>Cúmulos por GEC y Consorcios</t>
  </si>
  <si>
    <t>Módulo / Sección</t>
  </si>
  <si>
    <t>Funcionalidad</t>
  </si>
  <si>
    <t>SIS9</t>
  </si>
  <si>
    <t>SIS11</t>
  </si>
  <si>
    <t>Estado</t>
  </si>
  <si>
    <t>Brecha</t>
  </si>
  <si>
    <t>Acción</t>
  </si>
  <si>
    <t>Observaciones</t>
  </si>
  <si>
    <t>✅</t>
  </si>
  <si>
    <t>❌</t>
  </si>
  <si>
    <t>No Existe</t>
  </si>
  <si>
    <t>Sí</t>
  </si>
  <si>
    <t>Desarrollar</t>
  </si>
  <si>
    <t>Emisión</t>
  </si>
  <si>
    <t>Parcial</t>
  </si>
  <si>
    <t>⚠️</t>
  </si>
  <si>
    <t>Datos generales de la fianza</t>
  </si>
  <si>
    <t>Objeto asegurado Fianza</t>
  </si>
  <si>
    <t>Cúmulo Fianza</t>
  </si>
  <si>
    <t>Existe</t>
  </si>
  <si>
    <t>No</t>
  </si>
  <si>
    <t>Ninguna</t>
  </si>
  <si>
    <t>Si</t>
  </si>
  <si>
    <t>Ajuste catálogo</t>
  </si>
  <si>
    <t>La vigencia de la fianza aunque de entrada se seleccione por el usuario deberá ser recalculada en base a la vigencia de las coberturas, tomando la vigencia inicial de la cobertura básica y la vigencia mayor de las coberturas dependientes</t>
  </si>
  <si>
    <t>Cotización</t>
  </si>
  <si>
    <t>Validar configuración</t>
  </si>
  <si>
    <t>1. SE debe revisar y corregir el uso que tienen los catálogos: Tipo de Vigencia y Tipo Calendario, el Catálogo de Actividad no corresponde con GLOBAL.
2. Validar que el catálogo de clientes en el campo A Favor de, cumpla con el origen de datos que usa GLOBAL, ya sea con un rol no un tipo de dato del cliente.
3. Se debe habilitar la opción para registrar coberturas y ver resumen de coberturas que se implementó en incendio ahora en Fianzas.</t>
  </si>
  <si>
    <t>1. Actualmente el sistema cuenta con una configuración base, se requiere una revisión final para validar si algunos de las tarifas de entrada son fórmulas o valor de entrada reales.</t>
  </si>
  <si>
    <t>Reaseguro</t>
  </si>
  <si>
    <t>Validar cálculo</t>
  </si>
  <si>
    <t>1. Actualmente el sistema cuenta con la distribución de reaseguro, pero en las pruebas se puedo observar que al momento de cambiar la suma y recotizar el sistema no aplica el contrato de manera automatica, se tuvo que hacer manualmente y es necesario que sea automático</t>
  </si>
  <si>
    <t>Distribución</t>
  </si>
  <si>
    <t>Configurar</t>
  </si>
  <si>
    <t>1. Actualmente el sistema cuenta con la generación de coaseguro, se deberá configurar para que se pueda aplicar coaseguro.
2. Coaseguro deberá verse reflejado en el formulario personalizado de distribución de reaseguro, permitiendo gestionar dicho coaseguro.
3. Ver en versión de GLOBAL manejo de Gasto por parte de coaseguro cuando se perfila como un participante y no lider</t>
  </si>
  <si>
    <t>1. Actualmente el sistema cuenta con los cálculos de cúmulo por cliente, póliza y GEC, sin embargo, no cuenta con la validación correcta para consorcios.
2. Se debe validar que para un consorcio el sistema ejecute un cúmulo por cada empresa o contacto incluido en el grupo económico y si uno de esta empresas tiene GEC debe evaluarse correctamente.</t>
  </si>
  <si>
    <t>Poliza Fianza</t>
  </si>
  <si>
    <t>Oferta Fianza</t>
  </si>
  <si>
    <t>Contrato de Fianza</t>
  </si>
  <si>
    <t>Reporte: FJ_GarantiaJ_Bas313, Condición: Plan: JUD_BAS - Cob: 313</t>
  </si>
  <si>
    <t>Reporte: FJ_GarantiaJ_OAJ315, Condición: Plan: JUD_BAS - Cob: 315</t>
  </si>
  <si>
    <t>Reporte: CondGen_314, Condición: Plan: JUD_BAS - Cob: 314</t>
  </si>
  <si>
    <t>Reporte: FJ_GarantiaJ_IS313, Condición: Plan: JUD_IS - Cob: 313</t>
  </si>
  <si>
    <t>Reporte: FM_Global_VT341, Condición: Plan: 84_2 - Cob: 341</t>
  </si>
  <si>
    <t>Reporte: FM_Tercero_VT353, Condición: Plan: 84_2 - Cob: 353</t>
  </si>
  <si>
    <t>Reporte: FC_GarantiaC_OG303, Condición: Plan: 84_2 - Cob: 331</t>
  </si>
  <si>
    <t>Reporte: FC_GarantiaA_OP310, Condición: Plan: 84_2 - Cob: 334</t>
  </si>
  <si>
    <t>Reporte: FS_Propuesta_SBG316_ASTOR, Condición: Plan: PROP - GA - Cob: 316</t>
  </si>
  <si>
    <t>Reporte: contrato_fianza_preelaborada, Condición: Plan: PROP - GA - Cob: 317</t>
  </si>
  <si>
    <t>Reporte: contrato_fianza_preelaborada, Condición: Plan: PROP - GA - Cob: 318</t>
  </si>
  <si>
    <t>Reporte: FC_GarantiaC_SBGobierno_319, Condición: Plan: FIAGCCOG - Cob: 303</t>
  </si>
  <si>
    <t>Reporte: FC_GarantiaC_OP304, Condición: Plan: FIAGCCOP - Cob: 304</t>
  </si>
  <si>
    <t>Reporte: CondGen_305, Condición: Plan: FIAGCCAC - Cob: 305</t>
  </si>
  <si>
    <t>Reporte: FC_PagoAnticipadoPrivado, Condición: Plan: ANTICIPO - Cob: 310</t>
  </si>
  <si>
    <t>Reporte: CondGen_309_Gobierno, Condición: Plan: ANTICIPO - Cob: 309</t>
  </si>
  <si>
    <t>Reporte: CondGen_311, Condición: Plan: ANTICIPO - Cob: 311</t>
  </si>
  <si>
    <t>Reporte: CondGen_308, Condición: Plan: PAGO - Cob: 308</t>
  </si>
  <si>
    <t>Reporte: CondGen_306, Condición: Plan: PAGO - Cob: 306</t>
  </si>
  <si>
    <t>Reporte: CondGen_307, Condición: Plan: PAGO - Cob: 307</t>
  </si>
  <si>
    <t>Reporte: FC_GarantiaP_OP, Condición: Plan: PROPUESTA - Cob: 301</t>
  </si>
  <si>
    <t>Reporte: FS_Propuesta_SBG316, Condición: Plan: PROPUESTA - Cob: 300</t>
  </si>
  <si>
    <t>Reporte: CondGen_302, Condición: Plan: PROPUESTA - Cob: 302</t>
  </si>
  <si>
    <t>Reporte: CondGen_309, Condición: Plan: ANTICIPO - Cob: 326</t>
  </si>
  <si>
    <t>Reporte: FC_GarantiaA_SBAC328, Condición: Plan: ANTICIPO - Cob: 328</t>
  </si>
  <si>
    <t>Reporte: FC_GarantiaA_SBP327, Condición: Plan: ANTICIPO - Cob: 327</t>
  </si>
  <si>
    <t>Reporte: FC_GarantiaP_SBAC325, Condición: Plan: PAGO - Cob: 325</t>
  </si>
  <si>
    <t>Reporte: FS_GarantiaP_SBG323, Condición: Plan: PAGO - Cob: 323</t>
  </si>
  <si>
    <t>Reporte: FS_GarantiaP_SBP324, Condición: Plan: PAGO - Cob: 324</t>
  </si>
  <si>
    <t>Reporte: CondGen_317, Condición: Plan: PROPUESTA - Cob: 317</t>
  </si>
  <si>
    <t>Reporte: CondGen_318, Condición: Plan: PROPUESTA - Cob: 318</t>
  </si>
  <si>
    <t>Reporte: FS_Propuesta_SBG316, Condición: Plan: PROPUESTA - Cob: 316</t>
  </si>
  <si>
    <t>Reporte: FC_GarantiaC_SBGobierno_319, Condición: Plan: FCSBG - Cob: 319</t>
  </si>
  <si>
    <t>Reporte: FC_GarantiaC_OP321, Condición: Plan: FCSBP - Cob: 321</t>
  </si>
  <si>
    <t>Reporte: FC_CumSum_BACanal_322, Condición: Plan: FCSBAC - Cob: 322</t>
  </si>
  <si>
    <t>Reporte: FM_Basico_VT341, Condición: Plan: FIAMIS1 - Cob: 341</t>
  </si>
  <si>
    <t>Reporte: CondGen_329, Condición: Plan: FIAMIS1 - Cob: 329</t>
  </si>
  <si>
    <t>Reporte: CondGen_337, Condición: Plan: FIAMIS1 - Cob: 337</t>
  </si>
  <si>
    <t>Reporte: CondGen_340, Condición: Plan: FIAMIS1 - Cob: 340</t>
  </si>
  <si>
    <t>Reporte: FC_GarantiaA_OP310, Condición: Plan: FIAMIS1 - Cob: 334</t>
  </si>
  <si>
    <t>Reporte: FC_GarantiaC_SBGobierno_319, Condición: Plan: FIAMIS1 - Cob: 331</t>
  </si>
  <si>
    <t>Reporte: CondGen_317, Condición: Plan: GPESPECIAL - Cob: 317</t>
  </si>
  <si>
    <t>Reporte: FS_Propuesta_SBG316, Condición: Plan: GPESPECIAL - Cob: 316</t>
  </si>
  <si>
    <t>Reporte: FC_GarantiaC_OP321, Condición: Plan: CBESPECIAL - Cob: 321</t>
  </si>
  <si>
    <t>Reporte: FC_GarantiaC_SBGobierno_319, Condición: Plan: CBESPECIAL - Cob: 319</t>
  </si>
  <si>
    <t>Facturación</t>
  </si>
  <si>
    <t>Contacto</t>
  </si>
  <si>
    <t>Grupo Económico</t>
  </si>
  <si>
    <t>Ajustar</t>
  </si>
  <si>
    <t>Accionistas</t>
  </si>
  <si>
    <t>1. Toda empresa o contacto de tipo empresa deberá poder registrar su desglose de accionistas con la información: Nombre Accionistas, Porcentaje, Nro, Cobis, PEP.
2. Todo accionista deberá ser un contacto debidamente registrado, no existe filtro en si es persona o empresa.</t>
  </si>
  <si>
    <t>1. Debe existir un campo en dónde se puedan visualizar los contactos de tipo grupo económico y poder asignar un GEC a la empresa
2. En caso de agregar un contacto de tipo empresa a un grupo económico el sistema deberá automáticamente asociar dicho GEC a la empresa agregada.</t>
  </si>
  <si>
    <t>1. Grupo económico no usa % por empresa, eliminar campo.
2. Ningún contacto que tenga rol de Grupo Económico deberá permitir poder asociarle otro rol diferente.</t>
  </si>
  <si>
    <t>1. El campo Nombre Consorciados no es necesario, debe tomar el nombre del contacto Consorcio que se está agregando.
2. Un contacto que tiene rol de consorcio no debería tener otro rol distinto</t>
  </si>
  <si>
    <t>1. Cuando exista coaseguro y dicho coaseguro sea con un contacto con rol de banco el sistema deberá cobrar un impuesto diferido del 7% sobre la prima de coaseguro, en caso contrario mantener el cálculo del 5%</t>
  </si>
  <si>
    <t>Desarrollar y configurar en todos los productos de fianzas</t>
  </si>
  <si>
    <t>Cúmulo Detalle</t>
  </si>
  <si>
    <t>Endosos</t>
  </si>
  <si>
    <t>Formato endoso</t>
  </si>
  <si>
    <t>Habilitar formato de endoso según GLOBAL</t>
  </si>
  <si>
    <t xml:space="preserve">Cambio de vigencia, mueve las fechas de las coberturas, validando ls coberturas dependientes, no afecta ni prima ni suma, solo vigencias
No Afecta reaseguro
Actualiza la vigencia de la fianza
Si no se marca la opción de orden de proceder no se debe permitir ejecutar el endoso de orden de proceder
En fianza garantia cumplimiento de gobierno se debe marcar automáticamente la orden de proceder
En facturación histórica se deben ver todos los movimientos
</t>
  </si>
  <si>
    <t>Extensión de vigencia</t>
  </si>
  <si>
    <t>Se pueden mover cobertura principal y cobertura de mantenimiento
Se puede mover fecha final de la cobertura de mantenimiento
Endoso permite aplicar un descuento/recargo inmerso en el mismo endoso de extensión
Genera su respectivo reaseguro
Poder modificar el reaseguro antes de confirmar
SE mueven las fechas de las coberturas en base a la configuración de principal-dependientes
Ver cómo lo hace sis9 para calcular la extensión/reducción de vigencia</t>
  </si>
  <si>
    <t>Se genera reaseguro previo a confirmar y modificarlo antes de confirmar.</t>
  </si>
  <si>
    <t>Bordereau</t>
  </si>
  <si>
    <t>Se puede modificar el número del endoso posterior a confirmarlo</t>
  </si>
  <si>
    <t>Cancelación</t>
  </si>
  <si>
    <t>Sis9 cancela cada recibo por separado</t>
  </si>
  <si>
    <t>Estado Fianza</t>
  </si>
  <si>
    <t>Validar que todo movimientos se refleje correctamente en el borderó
Validar diseño de bordereau de emisión vs sis9, ver filtros y diseño</t>
  </si>
  <si>
    <t xml:space="preserve">Ver si podemos definir una vigencia automática </t>
  </si>
  <si>
    <t>Validar si el sistema cotiza o simplementa aplica prorrata</t>
  </si>
  <si>
    <t>Cambio de SA</t>
  </si>
  <si>
    <t>Endoso de cambio de OA</t>
  </si>
  <si>
    <t>Jessica enviará lista para campos editables
Modificar Garantías (valor - descripción)</t>
  </si>
  <si>
    <t>Cuotas</t>
  </si>
  <si>
    <t>Validar con Linneth el calendario de pagos de fianzas</t>
  </si>
  <si>
    <t>Cambio de forma de pago</t>
  </si>
  <si>
    <t>Validar consecutivo de endoso, debería ser 1 para identificar que es interno</t>
  </si>
  <si>
    <t>Mapa del ente</t>
  </si>
  <si>
    <t>Ver mapa del ente, validar cómo funciona en sis11</t>
  </si>
  <si>
    <t>Renovación</t>
  </si>
  <si>
    <t>Fianzas judiciales se renuevan y fianzas miscelaneas ramo 83 y 84</t>
  </si>
  <si>
    <t>Endoso de Orden de proceder</t>
  </si>
  <si>
    <t>Endoso</t>
  </si>
  <si>
    <t>Validar y Ajustar</t>
  </si>
  <si>
    <t>Emision</t>
  </si>
  <si>
    <t>Existe un estado de activo o inactivo, por ahora no se atenderá, se validará la necesidad previamente</t>
  </si>
  <si>
    <t>Validar y Configurar</t>
  </si>
  <si>
    <t xml:space="preserve">El contrato no tiene configuración definida en facultativo de reaseguradores, se solicita con cada caso
Se valida la distribución de reaseguradores
Montar reaseguradores y corredores (Catalogo)
Habilitar corredor en el formulario de reaseguro </t>
  </si>
  <si>
    <t>Esperar</t>
  </si>
  <si>
    <t>Se requiere una vista en dónde se pueda consultar el cúmulo de fianzas vigentes por cliente, póliza y grupo económico
Cumulo solo para fianzas
Solo fianzas vigentes - No canceladas y según vigencia</t>
  </si>
  <si>
    <t>Siniestro</t>
  </si>
  <si>
    <t>Datos Generales</t>
  </si>
  <si>
    <t>Para reestrcturar de la fecha de emisión del endoso</t>
  </si>
  <si>
    <t>Fecha de cuota apartir de la fecha del endoso, lo mas conveniente es que cada endoso tenga su propio calendario de pago.
El cliente peude pagar un endoso (plan de pago) y estando pendiente cualquier otro (plan de pago)</t>
  </si>
  <si>
    <t>Reporte Perfil del cliente</t>
  </si>
  <si>
    <t>Reporte existe, hay que validar su generación</t>
  </si>
  <si>
    <t>Prima incobrable</t>
  </si>
  <si>
    <t>Inclusión/exclusión de cobertura</t>
  </si>
  <si>
    <t>No está en el ramo de fianzas
Pero muestran cómo funciona en otros ramos
Validar cálculos de primas y reestructuración de cuotas
Validar la contabilización del endoso</t>
  </si>
  <si>
    <t xml:space="preserve">Sistema debe permitir cancelar una prima incobrable aún cuando la póliza esté cancelada
Endoso cancelar únicamente prima pendiente sin importar fechas o prorrata.
No hay endoso posterior al de incobrable, cualquier cambio requiere crear una nueva póliza
</t>
  </si>
  <si>
    <t>Objeto asegurado</t>
  </si>
  <si>
    <t>Actualmente no existe objeto asegurado en sis11 (validar)
Validar campos de sis11 vs sis9 en objeto asegurado</t>
  </si>
  <si>
    <t>Creación de reservas (gasto/pago)</t>
  </si>
  <si>
    <t>Pagos de gasto o pagos</t>
  </si>
  <si>
    <t>Resumen del reclamo</t>
  </si>
  <si>
    <t>Recuperaciones</t>
  </si>
  <si>
    <t>Actualmente se usa mucho para información rápida, pero la estructura es diferente a la del sis11</t>
  </si>
  <si>
    <t>Sistema debe permitir realizar pagos o gastos</t>
  </si>
  <si>
    <t>Sistema debe permitir realizar reservas de gasto o pagos</t>
  </si>
  <si>
    <t>Documentos finiquitos</t>
  </si>
  <si>
    <t>Desarrollar reportes de finiquitos, validar cuántos existen en sis9 (Jessica pasará esos documentos)</t>
  </si>
  <si>
    <t>Actualmente no configurado en SIS9, pero expresan que se requiere porque es importante para el ramo
Ver si al crear la recuperacón en reclamo el sistema cotnabiliza
Recuperación se crea en reclamos y luego aparece en caja y se permite cobrar usando su respectiva transacción</t>
  </si>
  <si>
    <t>Configurar Causas
Configurar tipos de reclamantes
Guardar datos según campos requeridos
Ver campos que tienen sis9 vs sis11</t>
  </si>
  <si>
    <t>Contabilización</t>
  </si>
  <si>
    <t>Sistema deberá generar su debido asiento contable usando las cuentas del ramo de fianzas</t>
  </si>
  <si>
    <t>Cobros</t>
  </si>
  <si>
    <t>Reservas</t>
  </si>
  <si>
    <t>Pagos</t>
  </si>
  <si>
    <t>Cobertura</t>
  </si>
  <si>
    <t>84_2</t>
  </si>
  <si>
    <t>Ramo</t>
  </si>
  <si>
    <t>Producto</t>
  </si>
  <si>
    <t>82JUD_BAS</t>
  </si>
  <si>
    <t>82JUD_IS</t>
  </si>
  <si>
    <t>83PROP_GA</t>
  </si>
  <si>
    <t>81FIAGCCOG</t>
  </si>
  <si>
    <t>81FIAGCCOP</t>
  </si>
  <si>
    <t>81FIAGCCAC</t>
  </si>
  <si>
    <t>83ANTICIPO</t>
  </si>
  <si>
    <t>83PAGO</t>
  </si>
  <si>
    <t>83PROPUESTA</t>
  </si>
  <si>
    <t>83FCSBG</t>
  </si>
  <si>
    <t>83FCSBP</t>
  </si>
  <si>
    <t>83FCSBAC</t>
  </si>
  <si>
    <t>84FIAMIS1</t>
  </si>
  <si>
    <t>83GPESPECIAL</t>
  </si>
  <si>
    <t>83CBESPECIAL</t>
  </si>
  <si>
    <t>Plantilla</t>
  </si>
  <si>
    <t>Nombre</t>
  </si>
  <si>
    <t>CondGen_305.docx</t>
  </si>
  <si>
    <t>FC_GarantiaC_SBGobierno_319.docx</t>
  </si>
  <si>
    <t>FC_GarantiaC_OP304.docx</t>
  </si>
  <si>
    <t>FJ_GarantiaJ_Bas313.docx</t>
  </si>
  <si>
    <t>CondGen_314.docx</t>
  </si>
  <si>
    <t>FJ_GarantiaJ_OAJ315.docx</t>
  </si>
  <si>
    <t>FJ_GarantiaJ_IS313.docx</t>
  </si>
  <si>
    <t>CondGen_309_Gobierno.docx</t>
  </si>
  <si>
    <t>FC_PagoAnticipadoPrivado.docx</t>
  </si>
  <si>
    <t>CondGen_311.docx</t>
  </si>
  <si>
    <t>CondGen_309.docx</t>
  </si>
  <si>
    <t>FC_GarantiaA_SBP327.docx</t>
  </si>
  <si>
    <t>FC_GarantiaA_SBAC328.docx</t>
  </si>
  <si>
    <t>FC_GarantiaC_OP321.docx</t>
  </si>
  <si>
    <t>FC_CumSum_BACanal_322.docx</t>
  </si>
  <si>
    <t>FS_Propuesta_SBG316.docx</t>
  </si>
  <si>
    <t>CondGen_317.docx</t>
  </si>
  <si>
    <t>CondGen_306.docx</t>
  </si>
  <si>
    <t>CondGen_307.docx</t>
  </si>
  <si>
    <t>CondGen_308.docx</t>
  </si>
  <si>
    <t>FS_GarantiaP_SBG323.docx</t>
  </si>
  <si>
    <t>FS_GarantiaP_SBP324.docx</t>
  </si>
  <si>
    <t>FC_GarantiaP_SBAC325.docx</t>
  </si>
  <si>
    <t>FS_Propuesta_SBG316_ASTOR.docx</t>
  </si>
  <si>
    <t>contrato_fianza_preelaborada.docx</t>
  </si>
  <si>
    <t>FC_GarantiaP_OP.docx</t>
  </si>
  <si>
    <t>CondGen_302.docx</t>
  </si>
  <si>
    <t>CondGen_318.docx</t>
  </si>
  <si>
    <t>FC_GarantiaC_OG303.docx</t>
  </si>
  <si>
    <t>FC_GarantiaA_OP310.docx</t>
  </si>
  <si>
    <t>FM_Global_VT341.docx</t>
  </si>
  <si>
    <t>FM_Tercero_VT353.docx</t>
  </si>
  <si>
    <t>CondGen_329.docx</t>
  </si>
  <si>
    <t>CondGen_337.docx</t>
  </si>
  <si>
    <t>CondGen_340.docx</t>
  </si>
  <si>
    <t>FM_Basico_VT341.docx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</si>
</sst>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1"/>
      <color rgb="FF002060"/>
      <name val="Calibri"/>
      <family val="2"/>
      <scheme val="minor"/>
    </font>
    <font>
      <sz val="11"/>
      <color rgb="FF002060"/>
      <name val="Calibri"/>
      <family val="2"/>
      <scheme val="minor"/>
    </font>
    <font>
      <b/>
      <sz val="11"/>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40">
    <xf numFmtId="0" fontId="0" fillId="0" borderId="0" xfId="0"/>
    <xf numFmtId="0" fontId="0" fillId="0" borderId="0" xfId="0" applyAlignment="1">
      <alignment wrapText="1"/>
    </xf>
    <xf numFmtId="43" fontId="0" fillId="0" borderId="0" xfId="1" applyFont="1"/>
    <xf numFmtId="43" fontId="0" fillId="0" borderId="0" xfId="0" applyNumberFormat="1"/>
    <xf numFmtId="0" fontId="2" fillId="0" borderId="0" xfId="0" applyFont="1"/>
    <xf numFmtId="43" fontId="2" fillId="0" borderId="0" xfId="1" applyFont="1"/>
    <xf numFmtId="0" fontId="2"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wrapText="1"/>
    </xf>
    <xf numFmtId="0" fontId="2"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0" fillId="0" borderId="0" xfId="0" applyAlignment="1">
      <alignment vertical="center" wrapText="1"/>
    </xf>
    <xf numFmtId="0" fontId="0" fillId="0" borderId="0" xfId="0" applyAlignment="1">
      <alignment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wrapText="1"/>
    </xf>
    <xf numFmtId="0" fontId="5" fillId="0" borderId="0" xfId="0"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left" vertical="top" wrapText="1"/>
    </xf>
    <xf numFmtId="0" fontId="6" fillId="0" borderId="0" xfId="0" applyFont="1" applyAlignment="1">
      <alignment wrapText="1"/>
    </xf>
    <xf numFmtId="0" fontId="6" fillId="0" borderId="0" xfId="0" applyFont="1" applyAlignment="1">
      <alignment horizontal="center" vertical="center" wrapText="1"/>
    </xf>
    <xf numFmtId="0" fontId="3" fillId="2" borderId="0" xfId="0" applyFont="1" applyFill="1" applyAlignment="1">
      <alignment horizontal="center"/>
    </xf>
    <xf numFmtId="0" fontId="3" fillId="2" borderId="0" xfId="0" applyFont="1" applyFill="1"/>
    <xf numFmtId="0" fontId="7"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left" vertical="top" wrapText="1"/>
    </xf>
    <xf numFmtId="0" fontId="8" fillId="0" borderId="0" xfId="0" applyFont="1" applyAlignment="1">
      <alignment wrapText="1"/>
    </xf>
    <xf numFmtId="0" fontId="4" fillId="2" borderId="0" xfId="0" applyFont="1" applyFill="1" applyAlignment="1">
      <alignment horizontal="center" vertical="center" wrapText="1"/>
    </xf>
    <xf numFmtId="0" fontId="8" fillId="0" borderId="0" xfId="0" applyFont="1" applyAlignment="1">
      <alignment horizontal="center" wrapText="1"/>
    </xf>
    <xf numFmtId="0" fontId="3" fillId="2" borderId="0" xfId="0" applyFont="1" applyFill="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left" vertical="top" wrapText="1"/>
    </xf>
    <xf numFmtId="0" fontId="2"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left" vertical="top"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F015-09F1-4425-AE5B-26E9F92C1770}">
  <sheetPr>
    <tabColor rgb="FFFF0000"/>
  </sheetPr>
  <dimension ref="A1:H56"/>
  <sheetViews>
    <sheetView tabSelected="1" workbookViewId="0">
      <selection activeCell="A2" sqref="A2"/>
    </sheetView>
  </sheetViews>
  <sheetFormatPr baseColWidth="10" defaultRowHeight="15" x14ac:dyDescent="0.25"/>
  <cols>
    <col min="1" max="1" width="21.42578125" style="8" bestFit="1" customWidth="1"/>
    <col min="2" max="2" width="29.42578125" style="8" bestFit="1" customWidth="1"/>
    <col min="3" max="3" width="4.5703125" style="8" bestFit="1" customWidth="1"/>
    <col min="4" max="4" width="5.5703125" style="8" bestFit="1" customWidth="1"/>
    <col min="5" max="5" width="9.28515625" style="8" bestFit="1" customWidth="1"/>
    <col min="6" max="6" width="7" style="8" bestFit="1" customWidth="1"/>
    <col min="7" max="7" width="19.85546875" style="8" bestFit="1" customWidth="1"/>
    <col min="8" max="8" width="108.7109375" style="10" customWidth="1"/>
  </cols>
  <sheetData>
    <row r="1" spans="1:8" x14ac:dyDescent="0.25">
      <c r="A1" s="6" t="s">
        <v>50</v>
      </c>
      <c r="B1" s="6" t="s">
        <v>51</v>
      </c>
      <c r="C1" s="6" t="s">
        <v>52</v>
      </c>
      <c r="D1" s="6" t="s">
        <v>53</v>
      </c>
      <c r="E1" s="6" t="s">
        <v>54</v>
      </c>
      <c r="F1" s="6" t="s">
        <v>55</v>
      </c>
      <c r="G1" s="6" t="s">
        <v>56</v>
      </c>
      <c r="H1" s="9" t="s">
        <v>57</v>
      </c>
    </row>
    <row r="2" spans="1:8" ht="30" x14ac:dyDescent="0.25">
      <c r="A2" s="6" t="s">
        <v>63</v>
      </c>
      <c r="B2" s="6" t="s">
        <v>66</v>
      </c>
      <c r="C2" s="8" t="s">
        <v>58</v>
      </c>
      <c r="D2" s="8" t="s">
        <v>65</v>
      </c>
      <c r="E2" s="6" t="s">
        <v>64</v>
      </c>
      <c r="F2" s="6" t="s">
        <v>72</v>
      </c>
      <c r="G2" s="6" t="s">
        <v>71</v>
      </c>
      <c r="H2" s="9" t="s">
        <v>74</v>
      </c>
    </row>
    <row r="3" spans="1:8" ht="90" x14ac:dyDescent="0.25">
      <c r="A3" s="6" t="s">
        <v>63</v>
      </c>
      <c r="B3" s="6" t="s">
        <v>67</v>
      </c>
      <c r="C3" s="8" t="s">
        <v>58</v>
      </c>
      <c r="D3" s="8" t="s">
        <v>65</v>
      </c>
      <c r="E3" s="6" t="s">
        <v>64</v>
      </c>
      <c r="F3" s="6" t="s">
        <v>72</v>
      </c>
      <c r="G3" s="6" t="s">
        <v>73</v>
      </c>
      <c r="H3" s="9" t="s">
        <v>77</v>
      </c>
    </row>
    <row r="4" spans="1:8" ht="30" x14ac:dyDescent="0.25">
      <c r="A4" s="6" t="s">
        <v>63</v>
      </c>
      <c r="B4" s="6" t="s">
        <v>75</v>
      </c>
      <c r="C4" s="8" t="s">
        <v>58</v>
      </c>
      <c r="D4" s="8" t="s">
        <v>65</v>
      </c>
      <c r="E4" s="6" t="s">
        <v>64</v>
      </c>
      <c r="F4" s="6" t="s">
        <v>72</v>
      </c>
      <c r="G4" s="6" t="s">
        <v>76</v>
      </c>
      <c r="H4" s="9" t="s">
        <v>78</v>
      </c>
    </row>
    <row r="5" spans="1:8" x14ac:dyDescent="0.25">
      <c r="A5" s="28" t="s">
        <v>175</v>
      </c>
      <c r="B5" s="28" t="s">
        <v>157</v>
      </c>
      <c r="C5" s="28" t="s">
        <v>58</v>
      </c>
      <c r="D5" s="28" t="s">
        <v>65</v>
      </c>
      <c r="E5" s="27" t="s">
        <v>64</v>
      </c>
      <c r="F5" s="27" t="s">
        <v>70</v>
      </c>
      <c r="G5" s="27" t="s">
        <v>71</v>
      </c>
      <c r="H5" s="30" t="s">
        <v>176</v>
      </c>
    </row>
    <row r="6" spans="1:8" x14ac:dyDescent="0.25">
      <c r="A6" s="8" t="s">
        <v>63</v>
      </c>
      <c r="B6" s="1" t="s">
        <v>66</v>
      </c>
      <c r="C6" s="8" t="s">
        <v>58</v>
      </c>
      <c r="D6" s="8" t="s">
        <v>65</v>
      </c>
      <c r="E6" s="6" t="s">
        <v>64</v>
      </c>
      <c r="F6" s="6" t="s">
        <v>72</v>
      </c>
      <c r="G6" s="6" t="s">
        <v>177</v>
      </c>
      <c r="H6" s="1" t="s">
        <v>159</v>
      </c>
    </row>
    <row r="7" spans="1:8" ht="30" x14ac:dyDescent="0.25">
      <c r="A7" s="27" t="s">
        <v>63</v>
      </c>
      <c r="B7" s="27" t="s">
        <v>134</v>
      </c>
      <c r="C7" s="28" t="s">
        <v>58</v>
      </c>
      <c r="D7" s="28" t="s">
        <v>59</v>
      </c>
      <c r="E7" s="27" t="s">
        <v>60</v>
      </c>
      <c r="F7" s="27" t="s">
        <v>72</v>
      </c>
      <c r="G7" s="27" t="s">
        <v>62</v>
      </c>
      <c r="H7" s="29" t="s">
        <v>143</v>
      </c>
    </row>
    <row r="8" spans="1:8" x14ac:dyDescent="0.25">
      <c r="A8" s="27" t="s">
        <v>8</v>
      </c>
      <c r="B8" s="27" t="s">
        <v>86</v>
      </c>
      <c r="C8" s="28" t="s">
        <v>58</v>
      </c>
      <c r="D8" s="28" t="s">
        <v>59</v>
      </c>
      <c r="E8" s="27" t="s">
        <v>60</v>
      </c>
      <c r="F8" s="27" t="s">
        <v>61</v>
      </c>
      <c r="G8" s="27" t="s">
        <v>62</v>
      </c>
      <c r="H8" s="29" t="s">
        <v>144</v>
      </c>
    </row>
    <row r="9" spans="1:8" x14ac:dyDescent="0.25">
      <c r="A9" s="27" t="s">
        <v>8</v>
      </c>
      <c r="B9" s="27" t="s">
        <v>87</v>
      </c>
      <c r="C9" s="28" t="s">
        <v>58</v>
      </c>
      <c r="D9" s="28" t="s">
        <v>59</v>
      </c>
      <c r="E9" s="27" t="s">
        <v>60</v>
      </c>
      <c r="F9" s="27" t="s">
        <v>61</v>
      </c>
      <c r="G9" s="27" t="s">
        <v>62</v>
      </c>
      <c r="H9" s="29" t="s">
        <v>144</v>
      </c>
    </row>
    <row r="10" spans="1:8" x14ac:dyDescent="0.25">
      <c r="A10" s="6" t="s">
        <v>8</v>
      </c>
      <c r="B10" s="6" t="s">
        <v>16</v>
      </c>
      <c r="C10" s="8" t="s">
        <v>58</v>
      </c>
      <c r="D10" s="8" t="s">
        <v>58</v>
      </c>
      <c r="E10" s="6" t="s">
        <v>69</v>
      </c>
      <c r="F10" s="6" t="s">
        <v>70</v>
      </c>
      <c r="G10" s="6" t="s">
        <v>71</v>
      </c>
      <c r="H10" s="9"/>
    </row>
    <row r="11" spans="1:8" x14ac:dyDescent="0.25">
      <c r="A11" s="6" t="s">
        <v>8</v>
      </c>
      <c r="B11" s="6" t="s">
        <v>88</v>
      </c>
      <c r="C11" s="8" t="s">
        <v>58</v>
      </c>
      <c r="D11" s="8" t="s">
        <v>59</v>
      </c>
      <c r="E11" s="6" t="s">
        <v>60</v>
      </c>
      <c r="F11" s="6" t="s">
        <v>61</v>
      </c>
      <c r="G11" s="6" t="s">
        <v>62</v>
      </c>
      <c r="H11" s="9" t="s">
        <v>89</v>
      </c>
    </row>
    <row r="12" spans="1:8" x14ac:dyDescent="0.25">
      <c r="A12" s="6" t="s">
        <v>8</v>
      </c>
      <c r="B12" s="6" t="s">
        <v>88</v>
      </c>
      <c r="C12" s="8" t="s">
        <v>58</v>
      </c>
      <c r="D12" s="8" t="s">
        <v>59</v>
      </c>
      <c r="E12" s="6" t="s">
        <v>60</v>
      </c>
      <c r="F12" s="6" t="s">
        <v>61</v>
      </c>
      <c r="G12" s="6" t="s">
        <v>62</v>
      </c>
      <c r="H12" s="9" t="s">
        <v>90</v>
      </c>
    </row>
    <row r="13" spans="1:8" x14ac:dyDescent="0.25">
      <c r="A13" s="6" t="s">
        <v>8</v>
      </c>
      <c r="B13" s="6" t="s">
        <v>88</v>
      </c>
      <c r="C13" s="8" t="s">
        <v>58</v>
      </c>
      <c r="D13" s="8" t="s">
        <v>59</v>
      </c>
      <c r="E13" s="6" t="s">
        <v>60</v>
      </c>
      <c r="F13" s="6" t="s">
        <v>61</v>
      </c>
      <c r="G13" s="6" t="s">
        <v>62</v>
      </c>
      <c r="H13" s="9" t="s">
        <v>91</v>
      </c>
    </row>
    <row r="14" spans="1:8" x14ac:dyDescent="0.25">
      <c r="A14" s="6" t="s">
        <v>8</v>
      </c>
      <c r="B14" s="6" t="s">
        <v>88</v>
      </c>
      <c r="C14" s="8" t="s">
        <v>58</v>
      </c>
      <c r="D14" s="8" t="s">
        <v>59</v>
      </c>
      <c r="E14" s="6" t="s">
        <v>60</v>
      </c>
      <c r="F14" s="6" t="s">
        <v>61</v>
      </c>
      <c r="G14" s="6" t="s">
        <v>62</v>
      </c>
      <c r="H14" s="9" t="s">
        <v>92</v>
      </c>
    </row>
    <row r="15" spans="1:8" x14ac:dyDescent="0.25">
      <c r="A15" s="6" t="s">
        <v>8</v>
      </c>
      <c r="B15" s="8" t="s">
        <v>88</v>
      </c>
      <c r="C15" s="8" t="s">
        <v>58</v>
      </c>
      <c r="D15" s="8" t="s">
        <v>59</v>
      </c>
      <c r="E15" s="6" t="s">
        <v>60</v>
      </c>
      <c r="F15" s="6" t="s">
        <v>61</v>
      </c>
      <c r="G15" s="6" t="s">
        <v>62</v>
      </c>
      <c r="H15" s="10" t="s">
        <v>93</v>
      </c>
    </row>
    <row r="16" spans="1:8" x14ac:dyDescent="0.25">
      <c r="A16" s="6" t="s">
        <v>8</v>
      </c>
      <c r="B16" s="8" t="s">
        <v>88</v>
      </c>
      <c r="C16" s="8" t="s">
        <v>58</v>
      </c>
      <c r="D16" s="8" t="s">
        <v>59</v>
      </c>
      <c r="E16" s="6" t="s">
        <v>60</v>
      </c>
      <c r="F16" s="6" t="s">
        <v>61</v>
      </c>
      <c r="G16" s="6" t="s">
        <v>62</v>
      </c>
      <c r="H16" s="10" t="s">
        <v>94</v>
      </c>
    </row>
    <row r="17" spans="1:8" x14ac:dyDescent="0.25">
      <c r="A17" s="6" t="s">
        <v>8</v>
      </c>
      <c r="B17" s="8" t="s">
        <v>88</v>
      </c>
      <c r="C17" s="8" t="s">
        <v>58</v>
      </c>
      <c r="D17" s="8" t="s">
        <v>59</v>
      </c>
      <c r="E17" s="6" t="s">
        <v>60</v>
      </c>
      <c r="F17" s="6" t="s">
        <v>61</v>
      </c>
      <c r="G17" s="6" t="s">
        <v>62</v>
      </c>
      <c r="H17" s="10" t="s">
        <v>95</v>
      </c>
    </row>
    <row r="18" spans="1:8" x14ac:dyDescent="0.25">
      <c r="A18" s="6" t="s">
        <v>8</v>
      </c>
      <c r="B18" s="8" t="s">
        <v>88</v>
      </c>
      <c r="C18" s="8" t="s">
        <v>58</v>
      </c>
      <c r="D18" s="8" t="s">
        <v>59</v>
      </c>
      <c r="E18" s="6" t="s">
        <v>60</v>
      </c>
      <c r="F18" s="6" t="s">
        <v>61</v>
      </c>
      <c r="G18" s="6" t="s">
        <v>62</v>
      </c>
      <c r="H18" s="10" t="s">
        <v>96</v>
      </c>
    </row>
    <row r="19" spans="1:8" x14ac:dyDescent="0.25">
      <c r="A19" s="6" t="s">
        <v>8</v>
      </c>
      <c r="B19" s="8" t="s">
        <v>88</v>
      </c>
      <c r="C19" s="8" t="s">
        <v>58</v>
      </c>
      <c r="D19" s="8" t="s">
        <v>59</v>
      </c>
      <c r="E19" s="6" t="s">
        <v>60</v>
      </c>
      <c r="F19" s="6" t="s">
        <v>61</v>
      </c>
      <c r="G19" s="6" t="s">
        <v>62</v>
      </c>
      <c r="H19" s="10" t="s">
        <v>97</v>
      </c>
    </row>
    <row r="20" spans="1:8" x14ac:dyDescent="0.25">
      <c r="A20" s="6" t="s">
        <v>8</v>
      </c>
      <c r="B20" s="8" t="s">
        <v>88</v>
      </c>
      <c r="C20" s="8" t="s">
        <v>58</v>
      </c>
      <c r="D20" s="8" t="s">
        <v>59</v>
      </c>
      <c r="E20" s="6" t="s">
        <v>60</v>
      </c>
      <c r="F20" s="6" t="s">
        <v>61</v>
      </c>
      <c r="G20" s="6" t="s">
        <v>62</v>
      </c>
      <c r="H20" s="10" t="s">
        <v>98</v>
      </c>
    </row>
    <row r="21" spans="1:8" x14ac:dyDescent="0.25">
      <c r="A21" s="6" t="s">
        <v>8</v>
      </c>
      <c r="B21" s="8" t="s">
        <v>88</v>
      </c>
      <c r="C21" s="8" t="s">
        <v>58</v>
      </c>
      <c r="D21" s="8" t="s">
        <v>59</v>
      </c>
      <c r="E21" s="6" t="s">
        <v>60</v>
      </c>
      <c r="F21" s="6" t="s">
        <v>61</v>
      </c>
      <c r="G21" s="6" t="s">
        <v>62</v>
      </c>
      <c r="H21" s="10" t="s">
        <v>99</v>
      </c>
    </row>
    <row r="22" spans="1:8" x14ac:dyDescent="0.25">
      <c r="A22" s="6" t="s">
        <v>8</v>
      </c>
      <c r="B22" s="8" t="s">
        <v>88</v>
      </c>
      <c r="C22" s="8" t="s">
        <v>58</v>
      </c>
      <c r="D22" s="8" t="s">
        <v>59</v>
      </c>
      <c r="E22" s="6" t="s">
        <v>60</v>
      </c>
      <c r="F22" s="6" t="s">
        <v>61</v>
      </c>
      <c r="G22" s="6" t="s">
        <v>62</v>
      </c>
      <c r="H22" s="10" t="s">
        <v>100</v>
      </c>
    </row>
    <row r="23" spans="1:8" x14ac:dyDescent="0.25">
      <c r="A23" s="6" t="s">
        <v>8</v>
      </c>
      <c r="B23" s="8" t="s">
        <v>88</v>
      </c>
      <c r="C23" s="8" t="s">
        <v>58</v>
      </c>
      <c r="D23" s="8" t="s">
        <v>59</v>
      </c>
      <c r="E23" s="6" t="s">
        <v>60</v>
      </c>
      <c r="F23" s="6" t="s">
        <v>61</v>
      </c>
      <c r="G23" s="6" t="s">
        <v>62</v>
      </c>
      <c r="H23" s="10" t="s">
        <v>101</v>
      </c>
    </row>
    <row r="24" spans="1:8" x14ac:dyDescent="0.25">
      <c r="A24" s="6" t="s">
        <v>8</v>
      </c>
      <c r="B24" s="8" t="s">
        <v>88</v>
      </c>
      <c r="C24" s="8" t="s">
        <v>58</v>
      </c>
      <c r="D24" s="8" t="s">
        <v>59</v>
      </c>
      <c r="E24" s="6" t="s">
        <v>60</v>
      </c>
      <c r="F24" s="6" t="s">
        <v>61</v>
      </c>
      <c r="G24" s="6" t="s">
        <v>62</v>
      </c>
      <c r="H24" s="10" t="s">
        <v>102</v>
      </c>
    </row>
    <row r="25" spans="1:8" x14ac:dyDescent="0.25">
      <c r="A25" s="6" t="s">
        <v>8</v>
      </c>
      <c r="B25" s="8" t="s">
        <v>88</v>
      </c>
      <c r="C25" s="8" t="s">
        <v>58</v>
      </c>
      <c r="D25" s="8" t="s">
        <v>59</v>
      </c>
      <c r="E25" s="6" t="s">
        <v>60</v>
      </c>
      <c r="F25" s="6" t="s">
        <v>61</v>
      </c>
      <c r="G25" s="6" t="s">
        <v>62</v>
      </c>
      <c r="H25" s="10" t="s">
        <v>103</v>
      </c>
    </row>
    <row r="26" spans="1:8" x14ac:dyDescent="0.25">
      <c r="A26" s="6" t="s">
        <v>8</v>
      </c>
      <c r="B26" s="8" t="s">
        <v>88</v>
      </c>
      <c r="C26" s="8" t="s">
        <v>58</v>
      </c>
      <c r="D26" s="8" t="s">
        <v>59</v>
      </c>
      <c r="E26" s="6" t="s">
        <v>60</v>
      </c>
      <c r="F26" s="6" t="s">
        <v>61</v>
      </c>
      <c r="G26" s="6" t="s">
        <v>62</v>
      </c>
      <c r="H26" s="10" t="s">
        <v>104</v>
      </c>
    </row>
    <row r="27" spans="1:8" x14ac:dyDescent="0.25">
      <c r="A27" s="6" t="s">
        <v>8</v>
      </c>
      <c r="B27" s="8" t="s">
        <v>88</v>
      </c>
      <c r="C27" s="8" t="s">
        <v>58</v>
      </c>
      <c r="D27" s="8" t="s">
        <v>59</v>
      </c>
      <c r="E27" s="6" t="s">
        <v>60</v>
      </c>
      <c r="F27" s="6" t="s">
        <v>61</v>
      </c>
      <c r="G27" s="6" t="s">
        <v>62</v>
      </c>
      <c r="H27" s="10" t="s">
        <v>105</v>
      </c>
    </row>
    <row r="28" spans="1:8" x14ac:dyDescent="0.25">
      <c r="A28" s="6" t="s">
        <v>8</v>
      </c>
      <c r="B28" s="8" t="s">
        <v>88</v>
      </c>
      <c r="C28" s="8" t="s">
        <v>58</v>
      </c>
      <c r="D28" s="8" t="s">
        <v>59</v>
      </c>
      <c r="E28" s="6" t="s">
        <v>60</v>
      </c>
      <c r="F28" s="6" t="s">
        <v>61</v>
      </c>
      <c r="G28" s="6" t="s">
        <v>62</v>
      </c>
      <c r="H28" s="10" t="s">
        <v>106</v>
      </c>
    </row>
    <row r="29" spans="1:8" x14ac:dyDescent="0.25">
      <c r="A29" s="37" t="s">
        <v>8</v>
      </c>
      <c r="B29" s="38" t="s">
        <v>88</v>
      </c>
      <c r="C29" s="38" t="s">
        <v>58</v>
      </c>
      <c r="D29" s="38" t="s">
        <v>59</v>
      </c>
      <c r="E29" s="37" t="s">
        <v>60</v>
      </c>
      <c r="F29" s="37" t="s">
        <v>61</v>
      </c>
      <c r="G29" s="37" t="s">
        <v>62</v>
      </c>
      <c r="H29" s="39" t="s">
        <v>107</v>
      </c>
    </row>
    <row r="30" spans="1:8" x14ac:dyDescent="0.25">
      <c r="A30" s="37" t="s">
        <v>8</v>
      </c>
      <c r="B30" s="38" t="s">
        <v>88</v>
      </c>
      <c r="C30" s="38" t="s">
        <v>58</v>
      </c>
      <c r="D30" s="38" t="s">
        <v>59</v>
      </c>
      <c r="E30" s="37" t="s">
        <v>60</v>
      </c>
      <c r="F30" s="37" t="s">
        <v>61</v>
      </c>
      <c r="G30" s="37" t="s">
        <v>62</v>
      </c>
      <c r="H30" s="39" t="s">
        <v>108</v>
      </c>
    </row>
    <row r="31" spans="1:8" x14ac:dyDescent="0.25">
      <c r="A31" s="6" t="s">
        <v>8</v>
      </c>
      <c r="B31" s="8" t="s">
        <v>88</v>
      </c>
      <c r="C31" s="8" t="s">
        <v>58</v>
      </c>
      <c r="D31" s="8" t="s">
        <v>59</v>
      </c>
      <c r="E31" s="6" t="s">
        <v>60</v>
      </c>
      <c r="F31" s="6" t="s">
        <v>61</v>
      </c>
      <c r="G31" s="6" t="s">
        <v>62</v>
      </c>
      <c r="H31" s="10" t="s">
        <v>109</v>
      </c>
    </row>
    <row r="32" spans="1:8" x14ac:dyDescent="0.25">
      <c r="A32" s="6" t="s">
        <v>8</v>
      </c>
      <c r="B32" s="8" t="s">
        <v>88</v>
      </c>
      <c r="C32" s="8" t="s">
        <v>58</v>
      </c>
      <c r="D32" s="8" t="s">
        <v>59</v>
      </c>
      <c r="E32" s="6" t="s">
        <v>60</v>
      </c>
      <c r="F32" s="6" t="s">
        <v>61</v>
      </c>
      <c r="G32" s="6" t="s">
        <v>62</v>
      </c>
      <c r="H32" s="10" t="s">
        <v>110</v>
      </c>
    </row>
    <row r="33" spans="1:8" x14ac:dyDescent="0.25">
      <c r="A33" s="6" t="s">
        <v>8</v>
      </c>
      <c r="B33" s="8" t="s">
        <v>88</v>
      </c>
      <c r="C33" s="8" t="s">
        <v>58</v>
      </c>
      <c r="D33" s="8" t="s">
        <v>59</v>
      </c>
      <c r="E33" s="6" t="s">
        <v>60</v>
      </c>
      <c r="F33" s="6" t="s">
        <v>61</v>
      </c>
      <c r="G33" s="6" t="s">
        <v>62</v>
      </c>
      <c r="H33" s="10" t="s">
        <v>111</v>
      </c>
    </row>
    <row r="34" spans="1:8" x14ac:dyDescent="0.25">
      <c r="A34" s="6" t="s">
        <v>8</v>
      </c>
      <c r="B34" s="8" t="s">
        <v>88</v>
      </c>
      <c r="C34" s="8" t="s">
        <v>58</v>
      </c>
      <c r="D34" s="8" t="s">
        <v>59</v>
      </c>
      <c r="E34" s="6" t="s">
        <v>60</v>
      </c>
      <c r="F34" s="6" t="s">
        <v>61</v>
      </c>
      <c r="G34" s="6" t="s">
        <v>62</v>
      </c>
      <c r="H34" s="10" t="s">
        <v>112</v>
      </c>
    </row>
    <row r="35" spans="1:8" x14ac:dyDescent="0.25">
      <c r="A35" s="6" t="s">
        <v>8</v>
      </c>
      <c r="B35" s="8" t="s">
        <v>88</v>
      </c>
      <c r="C35" s="8" t="s">
        <v>58</v>
      </c>
      <c r="D35" s="8" t="s">
        <v>59</v>
      </c>
      <c r="E35" s="6" t="s">
        <v>60</v>
      </c>
      <c r="F35" s="6" t="s">
        <v>61</v>
      </c>
      <c r="G35" s="6" t="s">
        <v>62</v>
      </c>
      <c r="H35" s="10" t="s">
        <v>113</v>
      </c>
    </row>
    <row r="36" spans="1:8" x14ac:dyDescent="0.25">
      <c r="A36" s="6" t="s">
        <v>8</v>
      </c>
      <c r="B36" s="8" t="s">
        <v>88</v>
      </c>
      <c r="C36" s="8" t="s">
        <v>58</v>
      </c>
      <c r="D36" s="8" t="s">
        <v>59</v>
      </c>
      <c r="E36" s="6" t="s">
        <v>60</v>
      </c>
      <c r="F36" s="6" t="s">
        <v>61</v>
      </c>
      <c r="G36" s="6" t="s">
        <v>62</v>
      </c>
      <c r="H36" s="10" t="s">
        <v>114</v>
      </c>
    </row>
    <row r="37" spans="1:8" x14ac:dyDescent="0.25">
      <c r="A37" s="6" t="s">
        <v>8</v>
      </c>
      <c r="B37" s="8" t="s">
        <v>88</v>
      </c>
      <c r="C37" s="8" t="s">
        <v>58</v>
      </c>
      <c r="D37" s="8" t="s">
        <v>59</v>
      </c>
      <c r="E37" s="6" t="s">
        <v>60</v>
      </c>
      <c r="F37" s="6" t="s">
        <v>61</v>
      </c>
      <c r="G37" s="6" t="s">
        <v>62</v>
      </c>
      <c r="H37" s="10" t="s">
        <v>115</v>
      </c>
    </row>
    <row r="38" spans="1:8" x14ac:dyDescent="0.25">
      <c r="A38" s="6" t="s">
        <v>8</v>
      </c>
      <c r="B38" s="8" t="s">
        <v>88</v>
      </c>
      <c r="C38" s="8" t="s">
        <v>58</v>
      </c>
      <c r="D38" s="8" t="s">
        <v>59</v>
      </c>
      <c r="E38" s="6" t="s">
        <v>60</v>
      </c>
      <c r="F38" s="6" t="s">
        <v>61</v>
      </c>
      <c r="G38" s="6" t="s">
        <v>62</v>
      </c>
      <c r="H38" s="10" t="s">
        <v>116</v>
      </c>
    </row>
    <row r="39" spans="1:8" x14ac:dyDescent="0.25">
      <c r="A39" s="6" t="s">
        <v>8</v>
      </c>
      <c r="B39" s="8" t="s">
        <v>88</v>
      </c>
      <c r="C39" s="8" t="s">
        <v>58</v>
      </c>
      <c r="D39" s="8" t="s">
        <v>59</v>
      </c>
      <c r="E39" s="6" t="s">
        <v>60</v>
      </c>
      <c r="F39" s="6" t="s">
        <v>61</v>
      </c>
      <c r="G39" s="6" t="s">
        <v>62</v>
      </c>
      <c r="H39" s="10" t="s">
        <v>117</v>
      </c>
    </row>
    <row r="40" spans="1:8" x14ac:dyDescent="0.25">
      <c r="A40" s="6" t="s">
        <v>8</v>
      </c>
      <c r="B40" s="8" t="s">
        <v>88</v>
      </c>
      <c r="C40" s="8" t="s">
        <v>58</v>
      </c>
      <c r="D40" s="8" t="s">
        <v>59</v>
      </c>
      <c r="E40" s="6" t="s">
        <v>60</v>
      </c>
      <c r="F40" s="6" t="s">
        <v>61</v>
      </c>
      <c r="G40" s="6" t="s">
        <v>62</v>
      </c>
      <c r="H40" s="10" t="s">
        <v>118</v>
      </c>
    </row>
    <row r="41" spans="1:8" x14ac:dyDescent="0.25">
      <c r="A41" s="6" t="s">
        <v>8</v>
      </c>
      <c r="B41" s="8" t="s">
        <v>88</v>
      </c>
      <c r="C41" s="8" t="s">
        <v>58</v>
      </c>
      <c r="D41" s="8" t="s">
        <v>59</v>
      </c>
      <c r="E41" s="6" t="s">
        <v>60</v>
      </c>
      <c r="F41" s="6" t="s">
        <v>61</v>
      </c>
      <c r="G41" s="6" t="s">
        <v>62</v>
      </c>
      <c r="H41" s="10" t="s">
        <v>119</v>
      </c>
    </row>
    <row r="42" spans="1:8" x14ac:dyDescent="0.25">
      <c r="A42" s="6" t="s">
        <v>8</v>
      </c>
      <c r="B42" s="8" t="s">
        <v>88</v>
      </c>
      <c r="C42" s="8" t="s">
        <v>58</v>
      </c>
      <c r="D42" s="8" t="s">
        <v>59</v>
      </c>
      <c r="E42" s="6" t="s">
        <v>60</v>
      </c>
      <c r="F42" s="6" t="s">
        <v>61</v>
      </c>
      <c r="G42" s="6" t="s">
        <v>62</v>
      </c>
      <c r="H42" s="10" t="s">
        <v>120</v>
      </c>
    </row>
    <row r="43" spans="1:8" x14ac:dyDescent="0.25">
      <c r="A43" s="6" t="s">
        <v>8</v>
      </c>
      <c r="B43" s="8" t="s">
        <v>88</v>
      </c>
      <c r="C43" s="8" t="s">
        <v>58</v>
      </c>
      <c r="D43" s="8" t="s">
        <v>59</v>
      </c>
      <c r="E43" s="6" t="s">
        <v>60</v>
      </c>
      <c r="F43" s="6" t="s">
        <v>61</v>
      </c>
      <c r="G43" s="6" t="s">
        <v>62</v>
      </c>
      <c r="H43" s="10" t="s">
        <v>121</v>
      </c>
    </row>
    <row r="44" spans="1:8" x14ac:dyDescent="0.25">
      <c r="A44" s="6" t="s">
        <v>8</v>
      </c>
      <c r="B44" s="8" t="s">
        <v>88</v>
      </c>
      <c r="C44" s="8" t="s">
        <v>58</v>
      </c>
      <c r="D44" s="8" t="s">
        <v>59</v>
      </c>
      <c r="E44" s="6" t="s">
        <v>60</v>
      </c>
      <c r="F44" s="6" t="s">
        <v>61</v>
      </c>
      <c r="G44" s="6" t="s">
        <v>62</v>
      </c>
      <c r="H44" s="10" t="s">
        <v>122</v>
      </c>
    </row>
    <row r="45" spans="1:8" x14ac:dyDescent="0.25">
      <c r="A45" s="6" t="s">
        <v>8</v>
      </c>
      <c r="B45" s="8" t="s">
        <v>88</v>
      </c>
      <c r="C45" s="8" t="s">
        <v>58</v>
      </c>
      <c r="D45" s="8" t="s">
        <v>59</v>
      </c>
      <c r="E45" s="6" t="s">
        <v>60</v>
      </c>
      <c r="F45" s="6" t="s">
        <v>61</v>
      </c>
      <c r="G45" s="6" t="s">
        <v>62</v>
      </c>
      <c r="H45" s="10" t="s">
        <v>123</v>
      </c>
    </row>
    <row r="46" spans="1:8" x14ac:dyDescent="0.25">
      <c r="A46" s="6" t="s">
        <v>8</v>
      </c>
      <c r="B46" s="8" t="s">
        <v>88</v>
      </c>
      <c r="C46" s="8" t="s">
        <v>58</v>
      </c>
      <c r="D46" s="8" t="s">
        <v>59</v>
      </c>
      <c r="E46" s="6" t="s">
        <v>60</v>
      </c>
      <c r="F46" s="6" t="s">
        <v>61</v>
      </c>
      <c r="G46" s="6" t="s">
        <v>62</v>
      </c>
      <c r="H46" s="10" t="s">
        <v>124</v>
      </c>
    </row>
    <row r="47" spans="1:8" x14ac:dyDescent="0.25">
      <c r="A47" s="6" t="s">
        <v>8</v>
      </c>
      <c r="B47" s="8" t="s">
        <v>88</v>
      </c>
      <c r="C47" s="8" t="s">
        <v>58</v>
      </c>
      <c r="D47" s="8" t="s">
        <v>59</v>
      </c>
      <c r="E47" s="6" t="s">
        <v>60</v>
      </c>
      <c r="F47" s="6" t="s">
        <v>61</v>
      </c>
      <c r="G47" s="6" t="s">
        <v>62</v>
      </c>
      <c r="H47" s="10" t="s">
        <v>125</v>
      </c>
    </row>
    <row r="48" spans="1:8" x14ac:dyDescent="0.25">
      <c r="A48" s="6" t="s">
        <v>8</v>
      </c>
      <c r="B48" s="8" t="s">
        <v>88</v>
      </c>
      <c r="C48" s="8" t="s">
        <v>58</v>
      </c>
      <c r="D48" s="8" t="s">
        <v>59</v>
      </c>
      <c r="E48" s="6" t="s">
        <v>60</v>
      </c>
      <c r="F48" s="6" t="s">
        <v>61</v>
      </c>
      <c r="G48" s="6" t="s">
        <v>62</v>
      </c>
      <c r="H48" s="10" t="s">
        <v>126</v>
      </c>
    </row>
    <row r="49" spans="1:8" x14ac:dyDescent="0.25">
      <c r="A49" s="6" t="s">
        <v>8</v>
      </c>
      <c r="B49" s="8" t="s">
        <v>88</v>
      </c>
      <c r="C49" s="8" t="s">
        <v>58</v>
      </c>
      <c r="D49" s="8" t="s">
        <v>59</v>
      </c>
      <c r="E49" s="6" t="s">
        <v>60</v>
      </c>
      <c r="F49" s="6" t="s">
        <v>61</v>
      </c>
      <c r="G49" s="6" t="s">
        <v>62</v>
      </c>
      <c r="H49" s="10" t="s">
        <v>127</v>
      </c>
    </row>
    <row r="50" spans="1:8" x14ac:dyDescent="0.25">
      <c r="A50" s="6" t="s">
        <v>8</v>
      </c>
      <c r="B50" s="8" t="s">
        <v>88</v>
      </c>
      <c r="C50" s="8" t="s">
        <v>58</v>
      </c>
      <c r="D50" s="8" t="s">
        <v>59</v>
      </c>
      <c r="E50" s="6" t="s">
        <v>60</v>
      </c>
      <c r="F50" s="6" t="s">
        <v>61</v>
      </c>
      <c r="G50" s="6" t="s">
        <v>62</v>
      </c>
      <c r="H50" s="10" t="s">
        <v>128</v>
      </c>
    </row>
    <row r="51" spans="1:8" x14ac:dyDescent="0.25">
      <c r="A51" s="6" t="s">
        <v>8</v>
      </c>
      <c r="B51" s="8" t="s">
        <v>88</v>
      </c>
      <c r="C51" s="8" t="s">
        <v>58</v>
      </c>
      <c r="D51" s="8" t="s">
        <v>59</v>
      </c>
      <c r="E51" s="6" t="s">
        <v>60</v>
      </c>
      <c r="F51" s="6" t="s">
        <v>61</v>
      </c>
      <c r="G51" s="6" t="s">
        <v>62</v>
      </c>
      <c r="H51" s="10" t="s">
        <v>129</v>
      </c>
    </row>
    <row r="52" spans="1:8" x14ac:dyDescent="0.25">
      <c r="A52" s="6" t="s">
        <v>8</v>
      </c>
      <c r="B52" s="8" t="s">
        <v>88</v>
      </c>
      <c r="C52" s="8" t="s">
        <v>58</v>
      </c>
      <c r="D52" s="8" t="s">
        <v>59</v>
      </c>
      <c r="E52" s="6" t="s">
        <v>60</v>
      </c>
      <c r="F52" s="6" t="s">
        <v>61</v>
      </c>
      <c r="G52" s="6" t="s">
        <v>62</v>
      </c>
      <c r="H52" s="10" t="s">
        <v>130</v>
      </c>
    </row>
    <row r="53" spans="1:8" x14ac:dyDescent="0.25">
      <c r="A53" s="6" t="s">
        <v>8</v>
      </c>
      <c r="B53" s="8" t="s">
        <v>88</v>
      </c>
      <c r="C53" s="8" t="s">
        <v>58</v>
      </c>
      <c r="D53" s="8" t="s">
        <v>59</v>
      </c>
      <c r="E53" s="6" t="s">
        <v>60</v>
      </c>
      <c r="F53" s="6" t="s">
        <v>61</v>
      </c>
      <c r="G53" s="6" t="s">
        <v>62</v>
      </c>
      <c r="H53" s="10" t="s">
        <v>131</v>
      </c>
    </row>
    <row r="54" spans="1:8" x14ac:dyDescent="0.25">
      <c r="A54" s="6" t="s">
        <v>8</v>
      </c>
      <c r="B54" s="8" t="s">
        <v>88</v>
      </c>
      <c r="C54" s="8" t="s">
        <v>58</v>
      </c>
      <c r="D54" s="8" t="s">
        <v>59</v>
      </c>
      <c r="E54" s="6" t="s">
        <v>60</v>
      </c>
      <c r="F54" s="6" t="s">
        <v>61</v>
      </c>
      <c r="G54" s="6" t="s">
        <v>62</v>
      </c>
      <c r="H54" s="10" t="s">
        <v>132</v>
      </c>
    </row>
    <row r="55" spans="1:8" x14ac:dyDescent="0.25">
      <c r="A55" s="6" t="s">
        <v>8</v>
      </c>
      <c r="B55" s="8" t="s">
        <v>88</v>
      </c>
      <c r="C55" s="8" t="s">
        <v>58</v>
      </c>
      <c r="D55" s="8" t="s">
        <v>59</v>
      </c>
      <c r="E55" s="6" t="s">
        <v>60</v>
      </c>
      <c r="F55" s="6" t="s">
        <v>61</v>
      </c>
      <c r="G55" s="6" t="s">
        <v>62</v>
      </c>
      <c r="H55" s="10" t="s">
        <v>133</v>
      </c>
    </row>
    <row r="56" spans="1:8" x14ac:dyDescent="0.25">
      <c r="A56" s="8" t="s">
        <v>175</v>
      </c>
      <c r="B56" s="6" t="s">
        <v>164</v>
      </c>
      <c r="C56" s="8" t="s">
        <v>58</v>
      </c>
      <c r="D56" s="8" t="s">
        <v>65</v>
      </c>
      <c r="E56" s="6" t="s">
        <v>64</v>
      </c>
      <c r="F56" s="6" t="s">
        <v>70</v>
      </c>
      <c r="G56" s="6" t="s">
        <v>179</v>
      </c>
      <c r="H56" s="11" t="s">
        <v>165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B47E-08E9-4DD4-A45C-9428CAA77C43}">
  <sheetPr>
    <tabColor rgb="FFFF0000"/>
  </sheetPr>
  <dimension ref="A1:H16"/>
  <sheetViews>
    <sheetView topLeftCell="A4" workbookViewId="0">
      <selection activeCell="F13" sqref="F13"/>
    </sheetView>
  </sheetViews>
  <sheetFormatPr baseColWidth="10" defaultRowHeight="15" x14ac:dyDescent="0.25"/>
  <cols>
    <col min="1" max="1" width="23.85546875" style="8" bestFit="1" customWidth="1"/>
    <col min="2" max="2" width="24.5703125" style="7" customWidth="1"/>
    <col min="4" max="4" width="5.5703125" style="1" bestFit="1" customWidth="1"/>
    <col min="7" max="7" width="15.42578125" style="13" bestFit="1" customWidth="1"/>
    <col min="8" max="8" width="121" style="1" customWidth="1"/>
  </cols>
  <sheetData>
    <row r="1" spans="1:8" x14ac:dyDescent="0.25">
      <c r="A1" s="6" t="s">
        <v>50</v>
      </c>
      <c r="B1" s="12" t="s">
        <v>51</v>
      </c>
      <c r="C1" s="6" t="s">
        <v>52</v>
      </c>
      <c r="D1" s="6" t="s">
        <v>53</v>
      </c>
      <c r="E1" s="6" t="s">
        <v>54</v>
      </c>
      <c r="F1" s="6" t="s">
        <v>55</v>
      </c>
      <c r="G1" s="12" t="s">
        <v>56</v>
      </c>
      <c r="H1" s="9" t="s">
        <v>57</v>
      </c>
    </row>
    <row r="2" spans="1:8" ht="120" x14ac:dyDescent="0.25">
      <c r="A2" s="8" t="s">
        <v>173</v>
      </c>
      <c r="B2" s="7" t="s">
        <v>172</v>
      </c>
      <c r="C2" s="8" t="s">
        <v>58</v>
      </c>
      <c r="D2" s="8" t="s">
        <v>59</v>
      </c>
      <c r="E2" s="6" t="s">
        <v>60</v>
      </c>
      <c r="F2" s="6" t="s">
        <v>72</v>
      </c>
      <c r="G2" s="12" t="s">
        <v>62</v>
      </c>
      <c r="H2" s="1" t="s">
        <v>149</v>
      </c>
    </row>
    <row r="3" spans="1:8" x14ac:dyDescent="0.25">
      <c r="A3" s="28" t="s">
        <v>173</v>
      </c>
      <c r="B3" s="28" t="s">
        <v>147</v>
      </c>
      <c r="C3" s="28" t="s">
        <v>58</v>
      </c>
      <c r="D3" s="28" t="s">
        <v>59</v>
      </c>
      <c r="E3" s="27" t="s">
        <v>60</v>
      </c>
      <c r="F3" s="27" t="s">
        <v>72</v>
      </c>
      <c r="G3" s="35" t="s">
        <v>62</v>
      </c>
      <c r="H3" s="30" t="s">
        <v>148</v>
      </c>
    </row>
    <row r="4" spans="1:8" ht="105" x14ac:dyDescent="0.25">
      <c r="A4" s="28" t="s">
        <v>173</v>
      </c>
      <c r="B4" s="28" t="s">
        <v>150</v>
      </c>
      <c r="C4" s="28" t="s">
        <v>58</v>
      </c>
      <c r="D4" s="28" t="s">
        <v>59</v>
      </c>
      <c r="E4" s="27" t="s">
        <v>60</v>
      </c>
      <c r="F4" s="27" t="s">
        <v>72</v>
      </c>
      <c r="G4" s="35" t="s">
        <v>62</v>
      </c>
      <c r="H4" s="30" t="s">
        <v>151</v>
      </c>
    </row>
    <row r="5" spans="1:8" x14ac:dyDescent="0.25">
      <c r="A5" s="8" t="s">
        <v>173</v>
      </c>
      <c r="B5" s="8" t="s">
        <v>79</v>
      </c>
      <c r="C5" s="8" t="s">
        <v>58</v>
      </c>
      <c r="D5" s="8" t="s">
        <v>59</v>
      </c>
      <c r="E5" s="6" t="s">
        <v>60</v>
      </c>
      <c r="F5" s="6" t="s">
        <v>72</v>
      </c>
      <c r="G5" s="12" t="s">
        <v>62</v>
      </c>
      <c r="H5" s="1" t="s">
        <v>152</v>
      </c>
    </row>
    <row r="6" spans="1:8" ht="30" x14ac:dyDescent="0.25">
      <c r="A6" s="8" t="s">
        <v>153</v>
      </c>
      <c r="B6" s="8" t="s">
        <v>79</v>
      </c>
      <c r="C6" s="8" t="s">
        <v>58</v>
      </c>
      <c r="D6" s="8" t="s">
        <v>65</v>
      </c>
      <c r="E6" s="6" t="s">
        <v>64</v>
      </c>
      <c r="F6" s="6" t="s">
        <v>72</v>
      </c>
      <c r="G6" s="12" t="s">
        <v>174</v>
      </c>
      <c r="H6" s="1" t="s">
        <v>158</v>
      </c>
    </row>
    <row r="7" spans="1:8" x14ac:dyDescent="0.25">
      <c r="A7" s="28" t="s">
        <v>146</v>
      </c>
      <c r="B7" s="28" t="s">
        <v>79</v>
      </c>
      <c r="C7" s="28" t="s">
        <v>58</v>
      </c>
      <c r="D7" s="28" t="s">
        <v>59</v>
      </c>
      <c r="E7" s="27" t="s">
        <v>60</v>
      </c>
      <c r="F7" s="27" t="s">
        <v>72</v>
      </c>
      <c r="G7" s="35" t="s">
        <v>62</v>
      </c>
      <c r="H7" s="30" t="s">
        <v>154</v>
      </c>
    </row>
    <row r="8" spans="1:8" x14ac:dyDescent="0.25">
      <c r="A8" s="28" t="s">
        <v>146</v>
      </c>
      <c r="B8" s="28" t="s">
        <v>155</v>
      </c>
      <c r="C8" s="28" t="s">
        <v>58</v>
      </c>
      <c r="D8" s="28" t="s">
        <v>65</v>
      </c>
      <c r="E8" s="27" t="s">
        <v>69</v>
      </c>
      <c r="F8" s="27" t="s">
        <v>70</v>
      </c>
      <c r="G8" s="32" t="s">
        <v>71</v>
      </c>
      <c r="H8" s="30" t="s">
        <v>156</v>
      </c>
    </row>
    <row r="9" spans="1:8" x14ac:dyDescent="0.25">
      <c r="A9" s="28" t="s">
        <v>161</v>
      </c>
      <c r="B9" s="28" t="s">
        <v>155</v>
      </c>
      <c r="C9" s="28" t="s">
        <v>58</v>
      </c>
      <c r="D9" s="28" t="s">
        <v>65</v>
      </c>
      <c r="E9" s="27" t="s">
        <v>64</v>
      </c>
      <c r="F9" s="27" t="s">
        <v>72</v>
      </c>
      <c r="G9" s="32" t="s">
        <v>174</v>
      </c>
      <c r="H9" s="30" t="s">
        <v>160</v>
      </c>
    </row>
    <row r="10" spans="1:8" ht="30" x14ac:dyDescent="0.25">
      <c r="A10" s="8" t="s">
        <v>173</v>
      </c>
      <c r="B10" s="8" t="s">
        <v>162</v>
      </c>
      <c r="C10" s="8" t="s">
        <v>58</v>
      </c>
      <c r="D10" s="8" t="s">
        <v>65</v>
      </c>
      <c r="E10" s="6" t="s">
        <v>64</v>
      </c>
      <c r="F10" s="6" t="s">
        <v>70</v>
      </c>
      <c r="G10" s="13" t="s">
        <v>179</v>
      </c>
      <c r="H10" s="1" t="s">
        <v>163</v>
      </c>
    </row>
    <row r="11" spans="1:8" x14ac:dyDescent="0.25">
      <c r="A11" s="8" t="s">
        <v>166</v>
      </c>
      <c r="B11" s="8" t="s">
        <v>162</v>
      </c>
      <c r="C11" s="8" t="s">
        <v>58</v>
      </c>
      <c r="D11" s="8" t="s">
        <v>65</v>
      </c>
      <c r="E11" s="6" t="s">
        <v>64</v>
      </c>
      <c r="F11" s="6" t="s">
        <v>72</v>
      </c>
      <c r="G11" s="6" t="s">
        <v>174</v>
      </c>
      <c r="H11" s="1" t="s">
        <v>167</v>
      </c>
    </row>
    <row r="12" spans="1:8" x14ac:dyDescent="0.25">
      <c r="A12" s="8" t="s">
        <v>173</v>
      </c>
      <c r="B12" s="8" t="s">
        <v>170</v>
      </c>
      <c r="C12" s="8" t="s">
        <v>58</v>
      </c>
      <c r="D12" s="8" t="s">
        <v>58</v>
      </c>
      <c r="E12" s="6" t="s">
        <v>69</v>
      </c>
      <c r="F12" s="6" t="s">
        <v>70</v>
      </c>
      <c r="G12" s="13" t="s">
        <v>71</v>
      </c>
      <c r="H12" s="1" t="s">
        <v>171</v>
      </c>
    </row>
    <row r="13" spans="1:8" ht="30" x14ac:dyDescent="0.25">
      <c r="A13" s="18" t="s">
        <v>173</v>
      </c>
      <c r="B13" s="33" t="s">
        <v>164</v>
      </c>
      <c r="C13" s="18" t="s">
        <v>58</v>
      </c>
      <c r="D13" s="18" t="s">
        <v>59</v>
      </c>
      <c r="E13" s="17" t="s">
        <v>60</v>
      </c>
      <c r="F13" s="17" t="s">
        <v>72</v>
      </c>
      <c r="G13" s="31" t="s">
        <v>62</v>
      </c>
      <c r="H13" s="19" t="s">
        <v>184</v>
      </c>
    </row>
    <row r="14" spans="1:8" x14ac:dyDescent="0.25">
      <c r="A14" s="18" t="s">
        <v>173</v>
      </c>
      <c r="B14" s="33" t="s">
        <v>164</v>
      </c>
      <c r="C14" s="18" t="s">
        <v>58</v>
      </c>
      <c r="D14" s="18" t="s">
        <v>59</v>
      </c>
      <c r="E14" s="17" t="s">
        <v>60</v>
      </c>
      <c r="F14" s="17" t="s">
        <v>72</v>
      </c>
      <c r="G14" s="31" t="s">
        <v>62</v>
      </c>
      <c r="H14" s="19" t="s">
        <v>183</v>
      </c>
    </row>
    <row r="15" spans="1:8" ht="60" x14ac:dyDescent="0.25">
      <c r="A15" s="28" t="s">
        <v>173</v>
      </c>
      <c r="B15" s="34" t="s">
        <v>187</v>
      </c>
      <c r="C15" s="28" t="s">
        <v>58</v>
      </c>
      <c r="D15" s="28" t="s">
        <v>59</v>
      </c>
      <c r="E15" s="27" t="s">
        <v>60</v>
      </c>
      <c r="F15" s="27" t="s">
        <v>72</v>
      </c>
      <c r="G15" s="35" t="s">
        <v>62</v>
      </c>
      <c r="H15" s="30" t="s">
        <v>190</v>
      </c>
    </row>
    <row r="16" spans="1:8" ht="60" x14ac:dyDescent="0.25">
      <c r="A16" s="8" t="s">
        <v>173</v>
      </c>
      <c r="B16" s="7" t="s">
        <v>188</v>
      </c>
      <c r="C16" s="8" t="s">
        <v>58</v>
      </c>
      <c r="D16" s="8" t="s">
        <v>65</v>
      </c>
      <c r="E16" s="6" t="s">
        <v>64</v>
      </c>
      <c r="F16" s="6" t="s">
        <v>70</v>
      </c>
      <c r="G16" s="6" t="s">
        <v>174</v>
      </c>
      <c r="H16" s="1" t="s">
        <v>189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B435-5367-49EB-A688-24EC17C83E2C}">
  <sheetPr>
    <tabColor rgb="FFFF0000"/>
  </sheetPr>
  <dimension ref="A2:H7"/>
  <sheetViews>
    <sheetView workbookViewId="0">
      <selection activeCell="G6" sqref="G6"/>
    </sheetView>
  </sheetViews>
  <sheetFormatPr baseColWidth="10" defaultRowHeight="15" x14ac:dyDescent="0.25"/>
  <cols>
    <col min="1" max="1" width="16.5703125" style="8" bestFit="1" customWidth="1"/>
    <col min="2" max="2" width="15.140625" style="8" bestFit="1" customWidth="1"/>
    <col min="3" max="6" width="11.42578125" style="8"/>
    <col min="7" max="7" width="13.85546875" style="8" bestFit="1" customWidth="1"/>
    <col min="8" max="8" width="120.5703125" style="10" customWidth="1"/>
  </cols>
  <sheetData>
    <row r="2" spans="1:8" x14ac:dyDescent="0.25">
      <c r="A2" s="6" t="s">
        <v>50</v>
      </c>
      <c r="B2" s="6" t="s">
        <v>51</v>
      </c>
      <c r="C2" s="6" t="s">
        <v>52</v>
      </c>
      <c r="D2" s="6" t="s">
        <v>53</v>
      </c>
      <c r="E2" s="6" t="s">
        <v>54</v>
      </c>
      <c r="F2" s="6" t="s">
        <v>55</v>
      </c>
      <c r="G2" s="6" t="s">
        <v>56</v>
      </c>
      <c r="H2" s="9" t="s">
        <v>57</v>
      </c>
    </row>
    <row r="3" spans="1:8" ht="45" x14ac:dyDescent="0.25">
      <c r="A3" s="6" t="s">
        <v>79</v>
      </c>
      <c r="B3" s="6" t="s">
        <v>82</v>
      </c>
      <c r="C3" s="8" t="s">
        <v>58</v>
      </c>
      <c r="D3" s="8" t="s">
        <v>65</v>
      </c>
      <c r="E3" s="6" t="s">
        <v>64</v>
      </c>
      <c r="F3" s="6" t="s">
        <v>72</v>
      </c>
      <c r="G3" s="6" t="s">
        <v>80</v>
      </c>
      <c r="H3" s="9" t="s">
        <v>81</v>
      </c>
    </row>
    <row r="4" spans="1:8" ht="60" x14ac:dyDescent="0.25">
      <c r="A4" s="28" t="s">
        <v>79</v>
      </c>
      <c r="B4" s="28" t="s">
        <v>3</v>
      </c>
      <c r="C4" s="28" t="s">
        <v>58</v>
      </c>
      <c r="D4" s="28" t="s">
        <v>65</v>
      </c>
      <c r="E4" s="27" t="s">
        <v>64</v>
      </c>
      <c r="F4" s="27" t="s">
        <v>72</v>
      </c>
      <c r="G4" s="28" t="s">
        <v>83</v>
      </c>
      <c r="H4" s="36" t="s">
        <v>84</v>
      </c>
    </row>
    <row r="5" spans="1:8" ht="60" x14ac:dyDescent="0.25">
      <c r="A5" s="28" t="s">
        <v>79</v>
      </c>
      <c r="B5" s="27" t="s">
        <v>68</v>
      </c>
      <c r="C5" s="28" t="s">
        <v>58</v>
      </c>
      <c r="D5" s="28" t="s">
        <v>59</v>
      </c>
      <c r="E5" s="27" t="s">
        <v>60</v>
      </c>
      <c r="F5" s="27" t="s">
        <v>72</v>
      </c>
      <c r="G5" s="27" t="s">
        <v>62</v>
      </c>
      <c r="H5" s="36" t="s">
        <v>85</v>
      </c>
    </row>
    <row r="6" spans="1:8" ht="60" x14ac:dyDescent="0.25">
      <c r="A6" s="28" t="s">
        <v>79</v>
      </c>
      <c r="B6" s="28" t="s">
        <v>145</v>
      </c>
      <c r="C6" s="28" t="s">
        <v>58</v>
      </c>
      <c r="D6" s="28" t="s">
        <v>59</v>
      </c>
      <c r="E6" s="27" t="s">
        <v>60</v>
      </c>
      <c r="F6" s="27" t="s">
        <v>72</v>
      </c>
      <c r="G6" s="27" t="s">
        <v>62</v>
      </c>
      <c r="H6" s="30" t="s">
        <v>178</v>
      </c>
    </row>
    <row r="7" spans="1:8" ht="45" x14ac:dyDescent="0.25">
      <c r="A7" s="8" t="s">
        <v>79</v>
      </c>
      <c r="B7" s="6" t="s">
        <v>68</v>
      </c>
      <c r="C7" s="8" t="s">
        <v>58</v>
      </c>
      <c r="D7" s="8" t="s">
        <v>59</v>
      </c>
      <c r="E7" s="6" t="s">
        <v>60</v>
      </c>
      <c r="F7" s="6" t="s">
        <v>72</v>
      </c>
      <c r="G7" s="6" t="s">
        <v>62</v>
      </c>
      <c r="H7" s="10" t="s">
        <v>180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5BA13-0CF1-4844-871E-AC162DBE5D4C}">
  <sheetPr>
    <tabColor rgb="FFFF0000"/>
  </sheetPr>
  <dimension ref="A1:H8"/>
  <sheetViews>
    <sheetView workbookViewId="0">
      <selection activeCell="G5" sqref="G5"/>
    </sheetView>
  </sheetViews>
  <sheetFormatPr baseColWidth="10" defaultRowHeight="15" x14ac:dyDescent="0.25"/>
  <cols>
    <col min="1" max="1" width="16.7109375" style="8" bestFit="1" customWidth="1"/>
    <col min="2" max="2" width="23.5703125" style="8" bestFit="1" customWidth="1"/>
    <col min="3" max="3" width="11.42578125" style="8"/>
    <col min="4" max="4" width="5.5703125" style="7" bestFit="1" customWidth="1"/>
    <col min="5" max="6" width="11.42578125" style="8"/>
    <col min="7" max="7" width="13.85546875" style="8" bestFit="1" customWidth="1"/>
    <col min="8" max="8" width="108.140625" style="1" customWidth="1"/>
  </cols>
  <sheetData>
    <row r="1" spans="1:8" x14ac:dyDescent="0.25">
      <c r="A1" s="6" t="s">
        <v>50</v>
      </c>
      <c r="B1" s="6" t="s">
        <v>51</v>
      </c>
      <c r="C1" s="6" t="s">
        <v>52</v>
      </c>
      <c r="D1" s="6" t="s">
        <v>53</v>
      </c>
      <c r="E1" s="6" t="s">
        <v>54</v>
      </c>
      <c r="F1" s="6" t="s">
        <v>55</v>
      </c>
      <c r="G1" s="6" t="s">
        <v>56</v>
      </c>
      <c r="H1" s="9" t="s">
        <v>57</v>
      </c>
    </row>
    <row r="2" spans="1:8" ht="30" x14ac:dyDescent="0.25">
      <c r="A2" s="20" t="s">
        <v>135</v>
      </c>
      <c r="B2" s="20" t="s">
        <v>136</v>
      </c>
      <c r="C2" s="21" t="s">
        <v>58</v>
      </c>
      <c r="D2" s="21" t="s">
        <v>65</v>
      </c>
      <c r="E2" s="20" t="s">
        <v>64</v>
      </c>
      <c r="F2" s="20" t="s">
        <v>72</v>
      </c>
      <c r="G2" s="20" t="s">
        <v>137</v>
      </c>
      <c r="H2" s="22" t="s">
        <v>141</v>
      </c>
    </row>
    <row r="3" spans="1:8" ht="45" x14ac:dyDescent="0.25">
      <c r="A3" s="20" t="s">
        <v>135</v>
      </c>
      <c r="B3" s="21" t="s">
        <v>138</v>
      </c>
      <c r="C3" s="21" t="s">
        <v>58</v>
      </c>
      <c r="D3" s="21" t="s">
        <v>59</v>
      </c>
      <c r="E3" s="21" t="s">
        <v>60</v>
      </c>
      <c r="F3" s="21" t="s">
        <v>72</v>
      </c>
      <c r="G3" s="21" t="s">
        <v>62</v>
      </c>
      <c r="H3" s="23" t="s">
        <v>139</v>
      </c>
    </row>
    <row r="4" spans="1:8" ht="60" x14ac:dyDescent="0.25">
      <c r="A4" s="20" t="s">
        <v>135</v>
      </c>
      <c r="B4" s="21" t="s">
        <v>32</v>
      </c>
      <c r="C4" s="21" t="s">
        <v>58</v>
      </c>
      <c r="D4" s="21" t="s">
        <v>59</v>
      </c>
      <c r="E4" s="21" t="s">
        <v>60</v>
      </c>
      <c r="F4" s="21" t="s">
        <v>72</v>
      </c>
      <c r="G4" s="21" t="s">
        <v>62</v>
      </c>
      <c r="H4" s="23" t="s">
        <v>140</v>
      </c>
    </row>
    <row r="5" spans="1:8" ht="45" x14ac:dyDescent="0.25">
      <c r="A5" s="20" t="s">
        <v>135</v>
      </c>
      <c r="B5" s="21" t="s">
        <v>41</v>
      </c>
      <c r="C5" s="21" t="s">
        <v>58</v>
      </c>
      <c r="D5" s="21" t="s">
        <v>65</v>
      </c>
      <c r="E5" s="20" t="s">
        <v>64</v>
      </c>
      <c r="F5" s="20" t="s">
        <v>72</v>
      </c>
      <c r="G5" s="20" t="s">
        <v>137</v>
      </c>
      <c r="H5" s="23" t="s">
        <v>142</v>
      </c>
    </row>
    <row r="6" spans="1:8" x14ac:dyDescent="0.25">
      <c r="A6" s="20" t="s">
        <v>135</v>
      </c>
      <c r="B6" s="21" t="s">
        <v>168</v>
      </c>
      <c r="C6" s="21" t="s">
        <v>58</v>
      </c>
      <c r="D6" s="21" t="s">
        <v>59</v>
      </c>
      <c r="E6" s="21" t="s">
        <v>60</v>
      </c>
      <c r="F6" s="21" t="s">
        <v>72</v>
      </c>
      <c r="G6" s="21" t="s">
        <v>62</v>
      </c>
      <c r="H6" s="23" t="s">
        <v>169</v>
      </c>
    </row>
    <row r="7" spans="1:8" x14ac:dyDescent="0.25">
      <c r="A7" s="21" t="s">
        <v>135</v>
      </c>
      <c r="B7" s="21" t="s">
        <v>185</v>
      </c>
      <c r="C7" s="21" t="s">
        <v>58</v>
      </c>
      <c r="D7" s="21" t="s">
        <v>58</v>
      </c>
      <c r="E7" s="21" t="s">
        <v>69</v>
      </c>
      <c r="F7" s="21" t="s">
        <v>70</v>
      </c>
      <c r="G7" s="21" t="s">
        <v>71</v>
      </c>
      <c r="H7" s="23" t="s">
        <v>186</v>
      </c>
    </row>
    <row r="8" spans="1:8" x14ac:dyDescent="0.25">
      <c r="A8" s="21" t="s">
        <v>135</v>
      </c>
      <c r="B8" s="21"/>
      <c r="C8" s="21"/>
      <c r="D8" s="24"/>
      <c r="E8" s="21"/>
      <c r="F8" s="21"/>
      <c r="G8" s="21"/>
      <c r="H8" s="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8A1B5-8932-4395-BCE5-4948C10CB956}">
  <sheetPr>
    <tabColor rgb="FFFF0000"/>
  </sheetPr>
  <dimension ref="A1:H8"/>
  <sheetViews>
    <sheetView workbookViewId="0">
      <selection activeCell="H8" sqref="A8:H8"/>
    </sheetView>
  </sheetViews>
  <sheetFormatPr baseColWidth="10" defaultRowHeight="15" x14ac:dyDescent="0.25"/>
  <cols>
    <col min="1" max="1" width="16.5703125" style="14" bestFit="1" customWidth="1"/>
    <col min="2" max="2" width="31.5703125" bestFit="1" customWidth="1"/>
    <col min="8" max="8" width="89.85546875" customWidth="1"/>
  </cols>
  <sheetData>
    <row r="1" spans="1:8" x14ac:dyDescent="0.25">
      <c r="A1" s="6" t="s">
        <v>50</v>
      </c>
      <c r="B1" s="6" t="s">
        <v>51</v>
      </c>
      <c r="C1" s="6" t="s">
        <v>52</v>
      </c>
      <c r="D1" s="6" t="s">
        <v>53</v>
      </c>
      <c r="E1" s="6" t="s">
        <v>54</v>
      </c>
      <c r="F1" s="6" t="s">
        <v>55</v>
      </c>
      <c r="G1" s="6" t="s">
        <v>56</v>
      </c>
      <c r="H1" s="12" t="s">
        <v>57</v>
      </c>
    </row>
    <row r="2" spans="1:8" ht="60" x14ac:dyDescent="0.25">
      <c r="A2" s="8" t="s">
        <v>181</v>
      </c>
      <c r="B2" s="16" t="s">
        <v>182</v>
      </c>
      <c r="C2" s="8" t="s">
        <v>58</v>
      </c>
      <c r="D2" s="8" t="s">
        <v>65</v>
      </c>
      <c r="E2" s="6" t="s">
        <v>64</v>
      </c>
      <c r="F2" s="16" t="s">
        <v>72</v>
      </c>
      <c r="G2" s="16" t="s">
        <v>83</v>
      </c>
      <c r="H2" s="15" t="s">
        <v>203</v>
      </c>
    </row>
    <row r="3" spans="1:8" ht="30" x14ac:dyDescent="0.25">
      <c r="A3" s="14" t="s">
        <v>181</v>
      </c>
      <c r="B3" t="s">
        <v>191</v>
      </c>
      <c r="C3" s="8" t="s">
        <v>58</v>
      </c>
      <c r="D3" s="8" t="s">
        <v>59</v>
      </c>
      <c r="E3" s="8" t="s">
        <v>60</v>
      </c>
      <c r="H3" s="1" t="s">
        <v>192</v>
      </c>
    </row>
    <row r="4" spans="1:8" x14ac:dyDescent="0.25">
      <c r="A4" s="14" t="s">
        <v>181</v>
      </c>
      <c r="B4" t="s">
        <v>193</v>
      </c>
      <c r="C4" s="8" t="s">
        <v>58</v>
      </c>
      <c r="D4" s="8" t="s">
        <v>65</v>
      </c>
      <c r="E4" s="6" t="s">
        <v>64</v>
      </c>
      <c r="H4" t="s">
        <v>199</v>
      </c>
    </row>
    <row r="5" spans="1:8" x14ac:dyDescent="0.25">
      <c r="A5" s="14" t="s">
        <v>181</v>
      </c>
      <c r="B5" t="s">
        <v>194</v>
      </c>
      <c r="C5" s="8" t="s">
        <v>58</v>
      </c>
      <c r="D5" s="8" t="s">
        <v>59</v>
      </c>
      <c r="E5" s="8" t="s">
        <v>60</v>
      </c>
      <c r="H5" t="s">
        <v>198</v>
      </c>
    </row>
    <row r="6" spans="1:8" x14ac:dyDescent="0.25">
      <c r="A6" s="14" t="s">
        <v>181</v>
      </c>
      <c r="B6" t="s">
        <v>195</v>
      </c>
      <c r="C6" s="8" t="s">
        <v>58</v>
      </c>
      <c r="D6" s="8" t="s">
        <v>65</v>
      </c>
      <c r="E6" s="6" t="s">
        <v>64</v>
      </c>
      <c r="H6" t="s">
        <v>197</v>
      </c>
    </row>
    <row r="7" spans="1:8" ht="75" x14ac:dyDescent="0.25">
      <c r="A7" s="14" t="s">
        <v>181</v>
      </c>
      <c r="B7" t="s">
        <v>196</v>
      </c>
      <c r="C7" s="8" t="s">
        <v>58</v>
      </c>
      <c r="D7" s="8" t="s">
        <v>59</v>
      </c>
      <c r="E7" s="8" t="s">
        <v>60</v>
      </c>
      <c r="H7" s="1" t="s">
        <v>202</v>
      </c>
    </row>
    <row r="8" spans="1:8" x14ac:dyDescent="0.25">
      <c r="A8" s="25" t="s">
        <v>181</v>
      </c>
      <c r="B8" s="26" t="s">
        <v>200</v>
      </c>
      <c r="C8" s="18" t="s">
        <v>58</v>
      </c>
      <c r="D8" s="18" t="s">
        <v>65</v>
      </c>
      <c r="E8" s="17" t="s">
        <v>64</v>
      </c>
      <c r="F8" s="26"/>
      <c r="G8" s="26"/>
      <c r="H8" s="26" t="s">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A6EE7-16B5-4C73-8714-D523693876EF}">
  <sheetPr>
    <tabColor rgb="FFFF0000"/>
  </sheetPr>
  <dimension ref="A1:H6"/>
  <sheetViews>
    <sheetView workbookViewId="0">
      <selection activeCell="H6" sqref="A2:H6"/>
    </sheetView>
  </sheetViews>
  <sheetFormatPr baseColWidth="10" defaultRowHeight="15" x14ac:dyDescent="0.25"/>
  <cols>
    <col min="1" max="1" width="16.5703125" bestFit="1" customWidth="1"/>
    <col min="2" max="2" width="15.42578125" bestFit="1" customWidth="1"/>
    <col min="3" max="3" width="4.5703125" bestFit="1" customWidth="1"/>
    <col min="4" max="4" width="5.5703125" bestFit="1" customWidth="1"/>
    <col min="5" max="5" width="6.85546875" bestFit="1" customWidth="1"/>
    <col min="6" max="6" width="7" bestFit="1" customWidth="1"/>
    <col min="7" max="7" width="10.28515625" bestFit="1" customWidth="1"/>
    <col min="8" max="8" width="85.140625" style="1" customWidth="1"/>
  </cols>
  <sheetData>
    <row r="1" spans="1:8" x14ac:dyDescent="0.25">
      <c r="A1" s="6" t="s">
        <v>50</v>
      </c>
      <c r="B1" s="6" t="s">
        <v>51</v>
      </c>
      <c r="C1" s="6" t="s">
        <v>52</v>
      </c>
      <c r="D1" s="6" t="s">
        <v>53</v>
      </c>
      <c r="E1" s="6" t="s">
        <v>54</v>
      </c>
      <c r="F1" s="6" t="s">
        <v>55</v>
      </c>
      <c r="G1" s="6" t="s">
        <v>56</v>
      </c>
      <c r="H1" s="12" t="s">
        <v>57</v>
      </c>
    </row>
    <row r="2" spans="1:8" x14ac:dyDescent="0.25">
      <c r="A2" s="8" t="s">
        <v>63</v>
      </c>
      <c r="B2" s="16" t="s">
        <v>204</v>
      </c>
      <c r="C2" s="8" t="s">
        <v>58</v>
      </c>
      <c r="D2" s="8" t="s">
        <v>65</v>
      </c>
      <c r="E2" s="6" t="s">
        <v>64</v>
      </c>
      <c r="F2" s="16" t="s">
        <v>72</v>
      </c>
      <c r="G2" s="16" t="s">
        <v>83</v>
      </c>
      <c r="H2" s="15" t="s">
        <v>205</v>
      </c>
    </row>
    <row r="3" spans="1:8" x14ac:dyDescent="0.25">
      <c r="A3" s="8" t="s">
        <v>63</v>
      </c>
      <c r="B3" s="16" t="s">
        <v>146</v>
      </c>
      <c r="C3" s="8" t="s">
        <v>58</v>
      </c>
      <c r="D3" s="8" t="s">
        <v>65</v>
      </c>
      <c r="E3" s="6" t="s">
        <v>64</v>
      </c>
      <c r="F3" s="16" t="s">
        <v>72</v>
      </c>
      <c r="G3" s="16" t="s">
        <v>83</v>
      </c>
      <c r="H3" s="15" t="s">
        <v>205</v>
      </c>
    </row>
    <row r="4" spans="1:8" x14ac:dyDescent="0.25">
      <c r="A4" s="8" t="s">
        <v>63</v>
      </c>
      <c r="B4" s="16" t="s">
        <v>206</v>
      </c>
      <c r="C4" s="8" t="s">
        <v>58</v>
      </c>
      <c r="D4" s="8" t="s">
        <v>65</v>
      </c>
      <c r="E4" s="6" t="s">
        <v>64</v>
      </c>
      <c r="F4" s="16" t="s">
        <v>72</v>
      </c>
      <c r="G4" s="16" t="s">
        <v>83</v>
      </c>
      <c r="H4" s="15" t="s">
        <v>205</v>
      </c>
    </row>
    <row r="5" spans="1:8" x14ac:dyDescent="0.25">
      <c r="A5" s="8" t="s">
        <v>63</v>
      </c>
      <c r="B5" s="16" t="s">
        <v>207</v>
      </c>
      <c r="C5" s="8" t="s">
        <v>58</v>
      </c>
      <c r="D5" s="8" t="s">
        <v>65</v>
      </c>
      <c r="E5" s="6" t="s">
        <v>64</v>
      </c>
      <c r="F5" s="16" t="s">
        <v>72</v>
      </c>
      <c r="G5" s="16" t="s">
        <v>83</v>
      </c>
      <c r="H5" s="15" t="s">
        <v>205</v>
      </c>
    </row>
    <row r="6" spans="1:8" x14ac:dyDescent="0.25">
      <c r="A6" s="8" t="s">
        <v>63</v>
      </c>
      <c r="B6" s="16" t="s">
        <v>208</v>
      </c>
      <c r="C6" s="8" t="s">
        <v>58</v>
      </c>
      <c r="D6" s="8" t="s">
        <v>65</v>
      </c>
      <c r="E6" s="6" t="s">
        <v>64</v>
      </c>
      <c r="F6" s="16" t="s">
        <v>72</v>
      </c>
      <c r="G6" s="16" t="s">
        <v>83</v>
      </c>
      <c r="H6" s="15" t="s">
        <v>205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CF682-82A7-4821-BF8C-AA66C43E8BCE}">
  <dimension ref="A2:I33"/>
  <sheetViews>
    <sheetView topLeftCell="A7" workbookViewId="0">
      <selection activeCell="H26" sqref="H26"/>
    </sheetView>
  </sheetViews>
  <sheetFormatPr baseColWidth="10" defaultRowHeight="15" x14ac:dyDescent="0.25"/>
  <cols>
    <col min="2" max="2" width="11.42578125" style="2"/>
    <col min="5" max="5" width="13.140625" bestFit="1" customWidth="1"/>
  </cols>
  <sheetData>
    <row r="2" spans="1:9" x14ac:dyDescent="0.25">
      <c r="I2" s="2"/>
    </row>
    <row r="3" spans="1:9" x14ac:dyDescent="0.25">
      <c r="C3" t="s">
        <v>41</v>
      </c>
      <c r="E3" t="s">
        <v>36</v>
      </c>
      <c r="G3" t="s">
        <v>40</v>
      </c>
      <c r="H3" t="s">
        <v>42</v>
      </c>
      <c r="I3" s="2">
        <v>50000</v>
      </c>
    </row>
    <row r="4" spans="1:9" x14ac:dyDescent="0.25">
      <c r="H4" t="s">
        <v>43</v>
      </c>
      <c r="I4" s="2">
        <v>80000</v>
      </c>
    </row>
    <row r="5" spans="1:9" x14ac:dyDescent="0.25">
      <c r="C5" t="s">
        <v>33</v>
      </c>
      <c r="E5" t="s">
        <v>39</v>
      </c>
      <c r="H5" t="s">
        <v>33</v>
      </c>
      <c r="I5" s="2">
        <v>0</v>
      </c>
    </row>
    <row r="6" spans="1:9" x14ac:dyDescent="0.25">
      <c r="C6" t="s">
        <v>34</v>
      </c>
      <c r="E6" t="s">
        <v>37</v>
      </c>
      <c r="I6" s="2"/>
    </row>
    <row r="7" spans="1:9" x14ac:dyDescent="0.25">
      <c r="C7" t="s">
        <v>35</v>
      </c>
      <c r="E7" t="s">
        <v>38</v>
      </c>
      <c r="I7" s="2"/>
    </row>
    <row r="8" spans="1:9" x14ac:dyDescent="0.25">
      <c r="G8" t="s">
        <v>38</v>
      </c>
      <c r="I8" s="2"/>
    </row>
    <row r="9" spans="1:9" x14ac:dyDescent="0.25">
      <c r="H9" t="s">
        <v>44</v>
      </c>
      <c r="I9" s="2">
        <v>120000</v>
      </c>
    </row>
    <row r="10" spans="1:9" x14ac:dyDescent="0.25">
      <c r="H10" t="s">
        <v>45</v>
      </c>
      <c r="I10" s="2">
        <v>180000</v>
      </c>
    </row>
    <row r="11" spans="1:9" x14ac:dyDescent="0.25">
      <c r="A11" t="s">
        <v>33</v>
      </c>
      <c r="H11" t="s">
        <v>35</v>
      </c>
      <c r="I11" s="2">
        <v>0</v>
      </c>
    </row>
    <row r="12" spans="1:9" x14ac:dyDescent="0.25">
      <c r="A12" s="4" t="s">
        <v>46</v>
      </c>
      <c r="B12" s="5">
        <v>50000</v>
      </c>
      <c r="I12" s="2"/>
    </row>
    <row r="13" spans="1:9" x14ac:dyDescent="0.25">
      <c r="A13" s="4" t="s">
        <v>47</v>
      </c>
      <c r="B13" s="5">
        <v>50000</v>
      </c>
    </row>
    <row r="14" spans="1:9" x14ac:dyDescent="0.25">
      <c r="A14" t="s">
        <v>36</v>
      </c>
      <c r="B14" s="2">
        <f>SUM(I3:I5) + B12</f>
        <v>180000</v>
      </c>
    </row>
    <row r="15" spans="1:9" x14ac:dyDescent="0.25">
      <c r="A15" t="s">
        <v>41</v>
      </c>
      <c r="B15" s="2">
        <v>0</v>
      </c>
    </row>
    <row r="20" spans="1:9" x14ac:dyDescent="0.25">
      <c r="C20" t="s">
        <v>41</v>
      </c>
      <c r="E20" t="s">
        <v>36</v>
      </c>
      <c r="G20" t="s">
        <v>40</v>
      </c>
      <c r="H20" t="s">
        <v>42</v>
      </c>
      <c r="I20" s="2">
        <v>50000</v>
      </c>
    </row>
    <row r="21" spans="1:9" x14ac:dyDescent="0.25">
      <c r="H21" t="s">
        <v>43</v>
      </c>
      <c r="I21" s="2">
        <v>80000</v>
      </c>
    </row>
    <row r="22" spans="1:9" x14ac:dyDescent="0.25">
      <c r="C22" t="s">
        <v>33</v>
      </c>
      <c r="D22">
        <v>25</v>
      </c>
      <c r="E22" t="s">
        <v>39</v>
      </c>
      <c r="H22" t="s">
        <v>33</v>
      </c>
      <c r="I22" s="2">
        <v>50000</v>
      </c>
    </row>
    <row r="23" spans="1:9" x14ac:dyDescent="0.25">
      <c r="C23" t="s">
        <v>34</v>
      </c>
      <c r="D23">
        <v>25</v>
      </c>
      <c r="E23" t="s">
        <v>37</v>
      </c>
      <c r="I23" s="2"/>
    </row>
    <row r="24" spans="1:9" x14ac:dyDescent="0.25">
      <c r="C24" t="s">
        <v>35</v>
      </c>
      <c r="D24">
        <v>50</v>
      </c>
      <c r="E24" t="s">
        <v>38</v>
      </c>
      <c r="I24" s="2"/>
    </row>
    <row r="25" spans="1:9" x14ac:dyDescent="0.25">
      <c r="G25" t="s">
        <v>38</v>
      </c>
      <c r="I25" s="2"/>
    </row>
    <row r="26" spans="1:9" x14ac:dyDescent="0.25">
      <c r="H26" t="s">
        <v>44</v>
      </c>
      <c r="I26" s="2">
        <v>120000</v>
      </c>
    </row>
    <row r="27" spans="1:9" x14ac:dyDescent="0.25">
      <c r="H27" t="s">
        <v>45</v>
      </c>
      <c r="I27" s="2">
        <v>180000</v>
      </c>
    </row>
    <row r="28" spans="1:9" x14ac:dyDescent="0.25">
      <c r="H28" t="s">
        <v>35</v>
      </c>
      <c r="I28" s="2">
        <v>0</v>
      </c>
    </row>
    <row r="30" spans="1:9" x14ac:dyDescent="0.25">
      <c r="A30" t="s">
        <v>41</v>
      </c>
    </row>
    <row r="31" spans="1:9" x14ac:dyDescent="0.25">
      <c r="A31" s="4" t="s">
        <v>46</v>
      </c>
      <c r="B31" s="5">
        <v>80000</v>
      </c>
    </row>
    <row r="32" spans="1:9" x14ac:dyDescent="0.25">
      <c r="A32" s="4" t="s">
        <v>47</v>
      </c>
      <c r="B32" s="5">
        <v>80000</v>
      </c>
      <c r="E32" s="3"/>
      <c r="I32" s="3"/>
    </row>
    <row r="33" spans="1:5" x14ac:dyDescent="0.25">
      <c r="A33" t="s">
        <v>36</v>
      </c>
      <c r="B33" s="2">
        <f>SUM(I20:I22)+SUM(I26:I28)+0 +B31</f>
        <v>560000</v>
      </c>
      <c r="E33" t="s">
        <v>48</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53B9A-6E8D-46D8-B856-D5F5A0A602CB}">
  <dimension ref="B2:M22"/>
  <sheetViews>
    <sheetView workbookViewId="0">
      <selection activeCell="H22" sqref="H22"/>
    </sheetView>
  </sheetViews>
  <sheetFormatPr baseColWidth="10" defaultRowHeight="15" x14ac:dyDescent="0.25"/>
  <cols>
    <col min="2" max="2" width="34.42578125" bestFit="1" customWidth="1"/>
    <col min="10" max="10" width="35.140625" bestFit="1" customWidth="1"/>
    <col min="13" max="13" width="30.140625" bestFit="1" customWidth="1"/>
  </cols>
  <sheetData>
    <row r="2" spans="2:13" x14ac:dyDescent="0.25">
      <c r="B2" t="s">
        <v>0</v>
      </c>
      <c r="J2" t="s">
        <v>8</v>
      </c>
      <c r="M2" t="s">
        <v>11</v>
      </c>
    </row>
    <row r="3" spans="2:13" x14ac:dyDescent="0.25">
      <c r="B3" t="s">
        <v>1</v>
      </c>
      <c r="J3" t="s">
        <v>9</v>
      </c>
      <c r="M3" t="s">
        <v>10</v>
      </c>
    </row>
    <row r="4" spans="2:13" x14ac:dyDescent="0.25">
      <c r="B4" t="s">
        <v>2</v>
      </c>
      <c r="J4" t="s">
        <v>12</v>
      </c>
      <c r="M4" t="s">
        <v>13</v>
      </c>
    </row>
    <row r="5" spans="2:13" x14ac:dyDescent="0.25">
      <c r="J5" t="s">
        <v>14</v>
      </c>
      <c r="M5" t="s">
        <v>19</v>
      </c>
    </row>
    <row r="6" spans="2:13" x14ac:dyDescent="0.25">
      <c r="B6" t="s">
        <v>3</v>
      </c>
    </row>
    <row r="7" spans="2:13" x14ac:dyDescent="0.25">
      <c r="B7" t="s">
        <v>4</v>
      </c>
      <c r="J7" t="s">
        <v>14</v>
      </c>
    </row>
    <row r="8" spans="2:13" x14ac:dyDescent="0.25">
      <c r="B8" t="s">
        <v>5</v>
      </c>
      <c r="J8" t="s">
        <v>15</v>
      </c>
      <c r="K8" t="s">
        <v>20</v>
      </c>
    </row>
    <row r="9" spans="2:13" x14ac:dyDescent="0.25">
      <c r="B9" t="s">
        <v>6</v>
      </c>
      <c r="J9" t="s">
        <v>16</v>
      </c>
      <c r="K9" t="s">
        <v>21</v>
      </c>
    </row>
    <row r="10" spans="2:13" x14ac:dyDescent="0.25">
      <c r="B10" t="s">
        <v>7</v>
      </c>
      <c r="J10" t="s">
        <v>17</v>
      </c>
      <c r="K10" t="s">
        <v>22</v>
      </c>
      <c r="L10" t="s">
        <v>23</v>
      </c>
    </row>
    <row r="11" spans="2:13" x14ac:dyDescent="0.25">
      <c r="J11" t="s">
        <v>18</v>
      </c>
      <c r="K11" t="s">
        <v>24</v>
      </c>
    </row>
    <row r="18" spans="2:13" x14ac:dyDescent="0.25">
      <c r="B18" t="s">
        <v>49</v>
      </c>
      <c r="J18" t="s">
        <v>25</v>
      </c>
    </row>
    <row r="19" spans="2:13" x14ac:dyDescent="0.25">
      <c r="J19" t="s">
        <v>26</v>
      </c>
      <c r="M19" t="s">
        <v>27</v>
      </c>
    </row>
    <row r="20" spans="2:13" x14ac:dyDescent="0.25">
      <c r="J20" t="s">
        <v>28</v>
      </c>
      <c r="M20" t="s">
        <v>29</v>
      </c>
    </row>
    <row r="21" spans="2:13" x14ac:dyDescent="0.25">
      <c r="M21" t="s">
        <v>30</v>
      </c>
    </row>
    <row r="22" spans="2:13" x14ac:dyDescent="0.25">
      <c r="M22" t="s">
        <v>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6165A-DC63-4328-85F7-65C919BA9C34}">
  <sheetPr>
    <tabColor rgb="FFFF0000"/>
  </sheetPr>
  <dimension ref="A1:E46"/>
  <sheetViews>
    <sheetView topLeftCell="A37" workbookViewId="0">
      <selection activeCell="F53" sqref="F53"/>
    </sheetView>
  </sheetViews>
  <sheetFormatPr baseColWidth="10" defaultRowHeight="15" x14ac:dyDescent="0.25"/>
  <cols>
    <col min="1" max="1" width="33.42578125" bestFit="1" customWidth="1"/>
    <col min="2" max="2" width="17.5703125" bestFit="1" customWidth="1"/>
  </cols>
  <sheetData>
    <row r="1" spans="1:5" x14ac:dyDescent="0.25">
      <c r="A1" s="4" t="s">
        <v>228</v>
      </c>
      <c r="B1" s="4" t="s">
        <v>229</v>
      </c>
      <c r="C1" s="4" t="s">
        <v>211</v>
      </c>
      <c r="D1" s="4" t="s">
        <v>212</v>
      </c>
      <c r="E1" s="4" t="s">
        <v>209</v>
      </c>
    </row>
    <row r="2" spans="1:5" x14ac:dyDescent="0.25">
      <c r="A2" t="s">
        <v>230</v>
      </c>
      <c r="B2" t="s">
        <v>88</v>
      </c>
      <c r="C2">
        <v>81</v>
      </c>
      <c r="D2" t="s">
        <v>218</v>
      </c>
      <c r="E2">
        <v>305</v>
      </c>
    </row>
    <row r="3" spans="1:5" x14ac:dyDescent="0.25">
      <c r="A3" t="s">
        <v>231</v>
      </c>
      <c r="B3" t="s">
        <v>88</v>
      </c>
      <c r="C3">
        <v>81</v>
      </c>
      <c r="D3" t="s">
        <v>216</v>
      </c>
      <c r="E3">
        <v>303</v>
      </c>
    </row>
    <row r="4" spans="1:5" x14ac:dyDescent="0.25">
      <c r="A4" t="s">
        <v>232</v>
      </c>
      <c r="B4" t="s">
        <v>88</v>
      </c>
      <c r="C4">
        <v>81</v>
      </c>
      <c r="D4" t="s">
        <v>217</v>
      </c>
      <c r="E4">
        <v>304</v>
      </c>
    </row>
    <row r="5" spans="1:5" x14ac:dyDescent="0.25">
      <c r="A5" t="s">
        <v>233</v>
      </c>
      <c r="B5" t="s">
        <v>88</v>
      </c>
      <c r="C5">
        <v>82</v>
      </c>
      <c r="D5" t="s">
        <v>213</v>
      </c>
      <c r="E5">
        <v>313</v>
      </c>
    </row>
    <row r="6" spans="1:5" x14ac:dyDescent="0.25">
      <c r="A6" t="s">
        <v>234</v>
      </c>
      <c r="B6" t="s">
        <v>88</v>
      </c>
      <c r="C6">
        <v>82</v>
      </c>
      <c r="D6" t="s">
        <v>213</v>
      </c>
      <c r="E6">
        <v>314</v>
      </c>
    </row>
    <row r="7" spans="1:5" x14ac:dyDescent="0.25">
      <c r="A7" t="s">
        <v>235</v>
      </c>
      <c r="B7" t="s">
        <v>88</v>
      </c>
      <c r="C7">
        <v>82</v>
      </c>
      <c r="D7" t="s">
        <v>213</v>
      </c>
      <c r="E7">
        <v>315</v>
      </c>
    </row>
    <row r="8" spans="1:5" x14ac:dyDescent="0.25">
      <c r="A8" t="s">
        <v>236</v>
      </c>
      <c r="B8" t="s">
        <v>88</v>
      </c>
      <c r="C8">
        <v>82</v>
      </c>
      <c r="D8" t="s">
        <v>214</v>
      </c>
      <c r="E8">
        <v>313</v>
      </c>
    </row>
    <row r="9" spans="1:5" x14ac:dyDescent="0.25">
      <c r="A9" t="s">
        <v>237</v>
      </c>
      <c r="B9" t="s">
        <v>88</v>
      </c>
      <c r="C9">
        <v>83</v>
      </c>
      <c r="D9" t="s">
        <v>219</v>
      </c>
      <c r="E9">
        <v>309</v>
      </c>
    </row>
    <row r="10" spans="1:5" x14ac:dyDescent="0.25">
      <c r="A10" t="s">
        <v>238</v>
      </c>
      <c r="B10" t="s">
        <v>88</v>
      </c>
      <c r="C10">
        <v>83</v>
      </c>
      <c r="D10" t="s">
        <v>219</v>
      </c>
      <c r="E10">
        <v>310</v>
      </c>
    </row>
    <row r="11" spans="1:5" x14ac:dyDescent="0.25">
      <c r="A11" t="s">
        <v>239</v>
      </c>
      <c r="B11" t="s">
        <v>88</v>
      </c>
      <c r="C11">
        <v>83</v>
      </c>
      <c r="D11" t="s">
        <v>219</v>
      </c>
      <c r="E11">
        <v>311</v>
      </c>
    </row>
    <row r="12" spans="1:5" x14ac:dyDescent="0.25">
      <c r="A12" t="s">
        <v>240</v>
      </c>
      <c r="B12" t="s">
        <v>88</v>
      </c>
      <c r="C12">
        <v>83</v>
      </c>
      <c r="D12" t="s">
        <v>219</v>
      </c>
      <c r="E12">
        <v>326</v>
      </c>
    </row>
    <row r="13" spans="1:5" x14ac:dyDescent="0.25">
      <c r="A13" t="s">
        <v>241</v>
      </c>
      <c r="B13" t="s">
        <v>88</v>
      </c>
      <c r="C13">
        <v>83</v>
      </c>
      <c r="D13" t="s">
        <v>219</v>
      </c>
      <c r="E13">
        <v>327</v>
      </c>
    </row>
    <row r="14" spans="1:5" x14ac:dyDescent="0.25">
      <c r="A14" t="s">
        <v>242</v>
      </c>
      <c r="B14" t="s">
        <v>88</v>
      </c>
      <c r="C14">
        <v>83</v>
      </c>
      <c r="D14" t="s">
        <v>219</v>
      </c>
      <c r="E14">
        <v>328</v>
      </c>
    </row>
    <row r="15" spans="1:5" x14ac:dyDescent="0.25">
      <c r="A15" t="s">
        <v>231</v>
      </c>
      <c r="B15" t="s">
        <v>88</v>
      </c>
      <c r="C15">
        <v>83</v>
      </c>
      <c r="D15" t="s">
        <v>227</v>
      </c>
      <c r="E15">
        <v>319</v>
      </c>
    </row>
    <row r="16" spans="1:5" x14ac:dyDescent="0.25">
      <c r="A16" t="s">
        <v>243</v>
      </c>
      <c r="B16" t="s">
        <v>88</v>
      </c>
      <c r="C16">
        <v>83</v>
      </c>
      <c r="D16" t="s">
        <v>227</v>
      </c>
      <c r="E16">
        <v>321</v>
      </c>
    </row>
    <row r="17" spans="1:5" x14ac:dyDescent="0.25">
      <c r="A17" t="s">
        <v>244</v>
      </c>
      <c r="B17" t="s">
        <v>88</v>
      </c>
      <c r="C17">
        <v>83</v>
      </c>
      <c r="D17" t="s">
        <v>224</v>
      </c>
      <c r="E17">
        <v>322</v>
      </c>
    </row>
    <row r="18" spans="1:5" x14ac:dyDescent="0.25">
      <c r="A18" t="s">
        <v>231</v>
      </c>
      <c r="B18" t="s">
        <v>88</v>
      </c>
      <c r="C18">
        <v>83</v>
      </c>
      <c r="D18" t="s">
        <v>222</v>
      </c>
      <c r="E18">
        <v>319</v>
      </c>
    </row>
    <row r="19" spans="1:5" x14ac:dyDescent="0.25">
      <c r="A19" t="s">
        <v>243</v>
      </c>
      <c r="B19" t="s">
        <v>88</v>
      </c>
      <c r="C19">
        <v>83</v>
      </c>
      <c r="D19" t="s">
        <v>223</v>
      </c>
      <c r="E19">
        <v>321</v>
      </c>
    </row>
    <row r="20" spans="1:5" x14ac:dyDescent="0.25">
      <c r="A20" t="s">
        <v>245</v>
      </c>
      <c r="B20" t="s">
        <v>88</v>
      </c>
      <c r="C20">
        <v>83</v>
      </c>
      <c r="D20" t="s">
        <v>226</v>
      </c>
      <c r="E20">
        <v>316</v>
      </c>
    </row>
    <row r="21" spans="1:5" x14ac:dyDescent="0.25">
      <c r="A21" t="s">
        <v>246</v>
      </c>
      <c r="B21" t="s">
        <v>88</v>
      </c>
      <c r="C21">
        <v>83</v>
      </c>
      <c r="D21" t="s">
        <v>226</v>
      </c>
      <c r="E21">
        <v>317</v>
      </c>
    </row>
    <row r="22" spans="1:5" x14ac:dyDescent="0.25">
      <c r="A22" t="s">
        <v>247</v>
      </c>
      <c r="B22" t="s">
        <v>88</v>
      </c>
      <c r="C22">
        <v>83</v>
      </c>
      <c r="D22" t="s">
        <v>220</v>
      </c>
      <c r="E22">
        <v>306</v>
      </c>
    </row>
    <row r="23" spans="1:5" x14ac:dyDescent="0.25">
      <c r="A23" t="s">
        <v>248</v>
      </c>
      <c r="B23" t="s">
        <v>88</v>
      </c>
      <c r="C23">
        <v>83</v>
      </c>
      <c r="D23" t="s">
        <v>220</v>
      </c>
      <c r="E23">
        <v>307</v>
      </c>
    </row>
    <row r="24" spans="1:5" x14ac:dyDescent="0.25">
      <c r="A24" t="s">
        <v>249</v>
      </c>
      <c r="B24" t="s">
        <v>88</v>
      </c>
      <c r="C24">
        <v>83</v>
      </c>
      <c r="D24" t="s">
        <v>220</v>
      </c>
      <c r="E24">
        <v>308</v>
      </c>
    </row>
    <row r="25" spans="1:5" x14ac:dyDescent="0.25">
      <c r="A25" t="s">
        <v>250</v>
      </c>
      <c r="B25" t="s">
        <v>88</v>
      </c>
      <c r="C25">
        <v>83</v>
      </c>
      <c r="D25" t="s">
        <v>220</v>
      </c>
      <c r="E25">
        <v>323</v>
      </c>
    </row>
    <row r="26" spans="1:5" x14ac:dyDescent="0.25">
      <c r="A26" t="s">
        <v>251</v>
      </c>
      <c r="B26" t="s">
        <v>88</v>
      </c>
      <c r="C26">
        <v>83</v>
      </c>
      <c r="D26" t="s">
        <v>220</v>
      </c>
      <c r="E26">
        <v>324</v>
      </c>
    </row>
    <row r="27" spans="1:5" x14ac:dyDescent="0.25">
      <c r="A27" t="s">
        <v>252</v>
      </c>
      <c r="B27" t="s">
        <v>88</v>
      </c>
      <c r="C27">
        <v>83</v>
      </c>
      <c r="D27" t="s">
        <v>220</v>
      </c>
      <c r="E27">
        <v>325</v>
      </c>
    </row>
    <row r="28" spans="1:5" x14ac:dyDescent="0.25">
      <c r="A28" t="s">
        <v>253</v>
      </c>
      <c r="B28" t="s">
        <v>88</v>
      </c>
      <c r="C28">
        <v>83</v>
      </c>
      <c r="D28" t="s">
        <v>215</v>
      </c>
      <c r="E28">
        <v>316</v>
      </c>
    </row>
    <row r="29" spans="1:5" x14ac:dyDescent="0.25">
      <c r="A29" t="s">
        <v>254</v>
      </c>
      <c r="B29" t="s">
        <v>88</v>
      </c>
      <c r="C29">
        <v>83</v>
      </c>
      <c r="D29" t="s">
        <v>215</v>
      </c>
      <c r="E29">
        <v>317</v>
      </c>
    </row>
    <row r="30" spans="1:5" x14ac:dyDescent="0.25">
      <c r="A30" t="s">
        <v>254</v>
      </c>
      <c r="B30" t="s">
        <v>88</v>
      </c>
      <c r="C30">
        <v>83</v>
      </c>
      <c r="D30" t="s">
        <v>215</v>
      </c>
      <c r="E30">
        <v>318</v>
      </c>
    </row>
    <row r="31" spans="1:5" x14ac:dyDescent="0.25">
      <c r="A31" t="s">
        <v>245</v>
      </c>
      <c r="B31" t="s">
        <v>88</v>
      </c>
      <c r="C31">
        <v>83</v>
      </c>
      <c r="D31" t="s">
        <v>221</v>
      </c>
      <c r="E31">
        <v>300</v>
      </c>
    </row>
    <row r="32" spans="1:5" x14ac:dyDescent="0.25">
      <c r="A32" t="s">
        <v>255</v>
      </c>
      <c r="B32" t="s">
        <v>88</v>
      </c>
      <c r="C32">
        <v>83</v>
      </c>
      <c r="D32" t="s">
        <v>221</v>
      </c>
      <c r="E32">
        <v>301</v>
      </c>
    </row>
    <row r="33" spans="1:5" x14ac:dyDescent="0.25">
      <c r="A33" t="s">
        <v>256</v>
      </c>
      <c r="B33" t="s">
        <v>88</v>
      </c>
      <c r="C33">
        <v>83</v>
      </c>
      <c r="D33" t="s">
        <v>221</v>
      </c>
      <c r="E33">
        <v>302</v>
      </c>
    </row>
    <row r="34" spans="1:5" x14ac:dyDescent="0.25">
      <c r="A34" t="s">
        <v>245</v>
      </c>
      <c r="B34" t="s">
        <v>88</v>
      </c>
      <c r="C34">
        <v>83</v>
      </c>
      <c r="D34" t="s">
        <v>221</v>
      </c>
      <c r="E34">
        <v>316</v>
      </c>
    </row>
    <row r="35" spans="1:5" x14ac:dyDescent="0.25">
      <c r="A35" t="s">
        <v>246</v>
      </c>
      <c r="B35" t="s">
        <v>88</v>
      </c>
      <c r="C35">
        <v>83</v>
      </c>
      <c r="D35" t="s">
        <v>221</v>
      </c>
      <c r="E35">
        <v>317</v>
      </c>
    </row>
    <row r="36" spans="1:5" x14ac:dyDescent="0.25">
      <c r="A36" t="s">
        <v>257</v>
      </c>
      <c r="B36" t="s">
        <v>88</v>
      </c>
      <c r="C36">
        <v>83</v>
      </c>
      <c r="D36" t="s">
        <v>221</v>
      </c>
      <c r="E36">
        <v>318</v>
      </c>
    </row>
    <row r="37" spans="1:5" x14ac:dyDescent="0.25">
      <c r="A37" t="s">
        <v>258</v>
      </c>
      <c r="B37" t="s">
        <v>88</v>
      </c>
      <c r="C37">
        <v>84</v>
      </c>
      <c r="D37" t="s">
        <v>210</v>
      </c>
      <c r="E37">
        <v>331</v>
      </c>
    </row>
    <row r="38" spans="1:5" x14ac:dyDescent="0.25">
      <c r="A38" t="s">
        <v>259</v>
      </c>
      <c r="B38" t="s">
        <v>88</v>
      </c>
      <c r="C38">
        <v>84</v>
      </c>
      <c r="D38" t="s">
        <v>210</v>
      </c>
      <c r="E38">
        <v>334</v>
      </c>
    </row>
    <row r="39" spans="1:5" x14ac:dyDescent="0.25">
      <c r="A39" t="s">
        <v>260</v>
      </c>
      <c r="B39" t="s">
        <v>88</v>
      </c>
      <c r="C39">
        <v>84</v>
      </c>
      <c r="D39" t="s">
        <v>210</v>
      </c>
      <c r="E39">
        <v>341</v>
      </c>
    </row>
    <row r="40" spans="1:5" x14ac:dyDescent="0.25">
      <c r="A40" t="s">
        <v>261</v>
      </c>
      <c r="B40" t="s">
        <v>88</v>
      </c>
      <c r="C40">
        <v>84</v>
      </c>
      <c r="D40" t="s">
        <v>210</v>
      </c>
      <c r="E40">
        <v>353</v>
      </c>
    </row>
    <row r="41" spans="1:5" x14ac:dyDescent="0.25">
      <c r="A41" t="s">
        <v>262</v>
      </c>
      <c r="B41" t="s">
        <v>88</v>
      </c>
      <c r="C41">
        <v>84</v>
      </c>
      <c r="D41" t="s">
        <v>225</v>
      </c>
      <c r="E41">
        <v>329</v>
      </c>
    </row>
    <row r="42" spans="1:5" x14ac:dyDescent="0.25">
      <c r="A42" t="s">
        <v>231</v>
      </c>
      <c r="B42" t="s">
        <v>88</v>
      </c>
      <c r="C42">
        <v>84</v>
      </c>
      <c r="D42" t="s">
        <v>225</v>
      </c>
      <c r="E42">
        <v>331</v>
      </c>
    </row>
    <row r="43" spans="1:5" x14ac:dyDescent="0.25">
      <c r="A43" t="s">
        <v>259</v>
      </c>
      <c r="B43" t="s">
        <v>88</v>
      </c>
      <c r="C43">
        <v>84</v>
      </c>
      <c r="D43" t="s">
        <v>225</v>
      </c>
      <c r="E43">
        <v>334</v>
      </c>
    </row>
    <row r="44" spans="1:5" x14ac:dyDescent="0.25">
      <c r="A44" t="s">
        <v>263</v>
      </c>
      <c r="B44" t="s">
        <v>88</v>
      </c>
      <c r="C44">
        <v>84</v>
      </c>
      <c r="D44" t="s">
        <v>225</v>
      </c>
      <c r="E44">
        <v>337</v>
      </c>
    </row>
    <row r="45" spans="1:5" x14ac:dyDescent="0.25">
      <c r="A45" t="s">
        <v>264</v>
      </c>
      <c r="B45" t="s">
        <v>88</v>
      </c>
      <c r="C45">
        <v>84</v>
      </c>
      <c r="D45" t="s">
        <v>225</v>
      </c>
      <c r="E45">
        <v>340</v>
      </c>
    </row>
    <row r="46" spans="1:5" x14ac:dyDescent="0.25">
      <c r="A46" t="s">
        <v>265</v>
      </c>
      <c r="B46" t="s">
        <v>88</v>
      </c>
      <c r="C46">
        <v>84</v>
      </c>
      <c r="D46" t="s">
        <v>225</v>
      </c>
      <c r="E46">
        <v>341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Fianza - Emision</vt:lpstr>
      <vt:lpstr>Fianza-Endoso</vt:lpstr>
      <vt:lpstr>Fianza - Reaseguro</vt:lpstr>
      <vt:lpstr>Fianza - Contacto</vt:lpstr>
      <vt:lpstr>Fianzas - Siniestro</vt:lpstr>
      <vt:lpstr>Fianza - Contabilidad</vt:lpstr>
      <vt:lpstr>EjemploCumulo</vt:lpstr>
      <vt:lpstr>Notas</vt:lpstr>
      <vt:lpstr>Reportes matriz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2026-08-19T15:04:08Z</dcterms:created>
  <dcterms:modified xsi:type="dcterms:W3CDTF">2026-09-18T23:53:06Z</dcterms:modified>
</cp:coreProperties>
</file>