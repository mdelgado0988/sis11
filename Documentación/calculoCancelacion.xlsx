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6B7B5B96-436C-49D1-8535-D4E47D01AEA3}" xr6:coauthVersionLast="47" xr6:coauthVersionMax="47" xr10:uidLastSave="{00000000-0000-0000-0000-000000000000}"/>
  <bookViews>
    <workbookView xWindow="20370" yWindow="-120" windowWidth="29040" windowHeight="15720" xr2:uid="{BF04E230-9EE9-4C17-9A80-C53457622F11}"/>
  </bookViews>
  <sheets>
    <sheet name="prorrataencancel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C15" i="1"/>
  <c r="B7" i="1"/>
  <c r="C5" i="1"/>
  <c r="B8" i="1" l="1"/>
  <c r="B12" i="1"/>
  <c r="B16" i="1" s="1"/>
  <c r="B11" i="1"/>
  <c r="C16" i="1" l="1"/>
  <c r="D16" i="1" s="1"/>
  <c r="D15" i="1"/>
  <c r="B17" i="1"/>
  <c r="C17" i="1" l="1"/>
  <c r="D17" i="1"/>
</calcChain>
</file>

<file path=xl/sharedStrings.xml><?xml version="1.0" encoding="utf-8"?>
<sst xmlns="http://schemas.openxmlformats.org/spreadsheetml/2006/main" count="13" uniqueCount="11">
  <si>
    <t>fecha inicio</t>
  </si>
  <si>
    <t>fecha fin</t>
  </si>
  <si>
    <t>dias devengados</t>
  </si>
  <si>
    <t>dias no vengados</t>
  </si>
  <si>
    <t>prima</t>
  </si>
  <si>
    <t>impuesto</t>
  </si>
  <si>
    <t>TOTAL</t>
  </si>
  <si>
    <t>prima devengada</t>
  </si>
  <si>
    <t>prima no devengada</t>
  </si>
  <si>
    <t>total</t>
  </si>
  <si>
    <t>fecha efectiva de cancelacion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</si>
</sst>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74FC-EBFC-4A4B-9D2B-12B9B443209E}">
  <dimension ref="A4:D17"/>
  <sheetViews>
    <sheetView tabSelected="1" zoomScaleNormal="100" workbookViewId="0">
      <selection activeCell="D16" sqref="D16"/>
    </sheetView>
  </sheetViews>
  <sheetFormatPr baseColWidth="10" defaultRowHeight="15" x14ac:dyDescent="0.25"/>
  <cols>
    <col min="1" max="1" width="25" bestFit="1" customWidth="1"/>
  </cols>
  <sheetData>
    <row r="4" spans="1:4" x14ac:dyDescent="0.25">
      <c r="A4" t="s">
        <v>0</v>
      </c>
      <c r="B4" s="1">
        <v>46113</v>
      </c>
    </row>
    <row r="5" spans="1:4" x14ac:dyDescent="0.25">
      <c r="A5" t="s">
        <v>1</v>
      </c>
      <c r="B5" s="1">
        <v>46478</v>
      </c>
      <c r="C5">
        <f>B5-B4</f>
        <v>365</v>
      </c>
    </row>
    <row r="6" spans="1:4" x14ac:dyDescent="0.25">
      <c r="A6" t="s">
        <v>4</v>
      </c>
      <c r="B6">
        <v>7.5</v>
      </c>
    </row>
    <row r="7" spans="1:4" x14ac:dyDescent="0.25">
      <c r="A7" t="s">
        <v>5</v>
      </c>
      <c r="B7">
        <f>ROUNDUP(B6*5%,2)</f>
        <v>0.38</v>
      </c>
    </row>
    <row r="8" spans="1:4" x14ac:dyDescent="0.25">
      <c r="A8" t="s">
        <v>6</v>
      </c>
      <c r="B8">
        <f>B7+B6</f>
        <v>7.88</v>
      </c>
    </row>
    <row r="9" spans="1:4" x14ac:dyDescent="0.25">
      <c r="A9" t="s">
        <v>10</v>
      </c>
      <c r="B9" s="1">
        <v>46164</v>
      </c>
    </row>
    <row r="11" spans="1:4" x14ac:dyDescent="0.25">
      <c r="A11" t="s">
        <v>2</v>
      </c>
      <c r="B11">
        <f>B9-B4</f>
        <v>51</v>
      </c>
    </row>
    <row r="12" spans="1:4" x14ac:dyDescent="0.25">
      <c r="A12" s="2" t="s">
        <v>3</v>
      </c>
      <c r="B12" s="2">
        <f>B5-B9</f>
        <v>314</v>
      </c>
    </row>
    <row r="14" spans="1:4" x14ac:dyDescent="0.25">
      <c r="B14" s="3" t="s">
        <v>4</v>
      </c>
      <c r="C14" s="3" t="s">
        <v>5</v>
      </c>
      <c r="D14" s="3" t="s">
        <v>9</v>
      </c>
    </row>
    <row r="15" spans="1:4" x14ac:dyDescent="0.25">
      <c r="A15" t="s">
        <v>7</v>
      </c>
      <c r="B15" s="4">
        <f>ROUND((B6/(B5-B4))*B11,2)</f>
        <v>1.05</v>
      </c>
      <c r="C15" s="4">
        <f>ROUND(B15*5%,2)</f>
        <v>0.05</v>
      </c>
      <c r="D15" s="4">
        <f>SUM(B15:C15)</f>
        <v>1.1000000000000001</v>
      </c>
    </row>
    <row r="16" spans="1:4" x14ac:dyDescent="0.25">
      <c r="A16" s="2" t="s">
        <v>8</v>
      </c>
      <c r="B16" s="2">
        <f>ROUND((B6/(B5-B4))*B12,2)</f>
        <v>6.45</v>
      </c>
      <c r="C16" s="2">
        <f>ROUND(B16*5%,2)</f>
        <v>0.32</v>
      </c>
      <c r="D16" s="2">
        <f>SUM(B16:C16)</f>
        <v>6.7700000000000005</v>
      </c>
    </row>
    <row r="17" spans="2:4" x14ac:dyDescent="0.25">
      <c r="B17">
        <f>SUM(B15:B16)</f>
        <v>7.5</v>
      </c>
      <c r="C17">
        <f>SUM(C15:C16)</f>
        <v>0.37</v>
      </c>
      <c r="D17">
        <f>SUM(D15:D16)</f>
        <v>7.870000000000001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prorrataencancelacion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Hernandez</dc:creator>
  <cp:lastModifiedBy>Michael</cp:lastModifiedBy>
  <dcterms:created xsi:type="dcterms:W3CDTF">2026-04-15T23:45:22Z</dcterms:created>
  <dcterms:modified xsi:type="dcterms:W3CDTF">2026-04-24T15:30:11Z</dcterms:modified>
</cp:coreProperties>
</file>