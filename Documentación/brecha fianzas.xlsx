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defaultThemeVersion="166925"/>
  <mc:AlternateContent xmlns:mc="http://schemas.openxmlformats.org/markup-compatibility/2006">
    <mc:Choice Requires="x15">
      <x15ac:absPath xmlns:x15ac="http://schemas.microsoft.com/office/spreadsheetml/2010/11/ac" url="C:\Proyectos\Global\Documentación\"/>
    </mc:Choice>
  </mc:AlternateContent>
  <xr:revisionPtr revIDLastSave="0" documentId="13_ncr:1_{1A05FD66-69A9-4696-AAF5-0D6E6906ED43}" xr6:coauthVersionLast="47" xr6:coauthVersionMax="47" xr10:uidLastSave="{00000000-0000-0000-0000-000000000000}"/>
  <bookViews>
    <workbookView xWindow="20370" yWindow="-120" windowWidth="29040" windowHeight="15720" firstSheet="1" activeTab="5" xr2:uid="{55631BAB-3F43-4C4D-BEDF-0998D0E484F9}"/>
  </bookViews>
  <sheets>
    <sheet name="Fianza - Emision" sheetId="3" r:id="rId1"/>
    <sheet name="Fianza-Endoso" sheetId="6" r:id="rId2"/>
    <sheet name="Fianza - Reaseguro" sheetId="4" r:id="rId3"/>
    <sheet name="Fianza - Contacto" sheetId="5" r:id="rId4"/>
    <sheet name="Fianzas - Siniestro" sheetId="7" r:id="rId5"/>
    <sheet name="Fianza - Contabilidad" sheetId="10" r:id="rId6"/>
    <sheet name="EjemploCumulo" sheetId="2" r:id="rId7"/>
    <sheet name="Notas" sheetId="1"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2" l="1"/>
  <c r="B14" i="2"/>
</calcChain>
</file>

<file path=xl/sharedStrings.xml><?xml version="1.0" encoding="utf-8"?>
<sst xmlns="http://schemas.openxmlformats.org/spreadsheetml/2006/main" count="856" uniqueCount="209">
  <si>
    <t>Agregar opción de gestión de coberturas</t>
  </si>
  <si>
    <t>Distribución de cúmulo por rango de suma afianzada</t>
  </si>
  <si>
    <t>Ver distribución cuando se modifica la suma asegurada</t>
  </si>
  <si>
    <t>Coaseguro</t>
  </si>
  <si>
    <t>Habilitar coaseguro</t>
  </si>
  <si>
    <t>Ver en distribución</t>
  </si>
  <si>
    <t>Ver contabilización</t>
  </si>
  <si>
    <t>Gastos del manejo del coaseguro</t>
  </si>
  <si>
    <t>Documento</t>
  </si>
  <si>
    <t>LÍMITE MÁXIMO DE RESPONSABILIDAD</t>
  </si>
  <si>
    <t>Numero y letras</t>
  </si>
  <si>
    <t>Observacion</t>
  </si>
  <si>
    <t>VIGENCIA: día</t>
  </si>
  <si>
    <t>días de la vigencia cob princiopal</t>
  </si>
  <si>
    <t>Documentos</t>
  </si>
  <si>
    <t>Factura</t>
  </si>
  <si>
    <t>Recibo</t>
  </si>
  <si>
    <t>Oferta</t>
  </si>
  <si>
    <t>Documento fianza</t>
  </si>
  <si>
    <t>Revisar formato</t>
  </si>
  <si>
    <t>poliza_fianzas  &gt; Factura</t>
  </si>
  <si>
    <t>recibo</t>
  </si>
  <si>
    <t xml:space="preserve">oferta_fianzas                                                                                                                                        </t>
  </si>
  <si>
    <t xml:space="preserve">Doc. de oferta de fianzas (Construcción)                                                                                                                                                                                                                                                                    </t>
  </si>
  <si>
    <t xml:space="preserve">Contrato de Fianza                                                                                                                                                                                                                                                                                          </t>
  </si>
  <si>
    <t>Coaseguro con banco</t>
  </si>
  <si>
    <t>Impuesto</t>
  </si>
  <si>
    <t>7% de impuesto</t>
  </si>
  <si>
    <t>Segregado</t>
  </si>
  <si>
    <t>5% de prima normal</t>
  </si>
  <si>
    <t>7% de prima correspondiente al coaseguro</t>
  </si>
  <si>
    <t>Desglosar impuestos</t>
  </si>
  <si>
    <t>Empresa</t>
  </si>
  <si>
    <t>Empresa 1</t>
  </si>
  <si>
    <t>Empresa 2</t>
  </si>
  <si>
    <t>Empresa 3</t>
  </si>
  <si>
    <t>GEC</t>
  </si>
  <si>
    <t>-</t>
  </si>
  <si>
    <t>Grupo 2</t>
  </si>
  <si>
    <t>Grupo1</t>
  </si>
  <si>
    <t>Grupo 1</t>
  </si>
  <si>
    <t>Consorcio</t>
  </si>
  <si>
    <t>Juan</t>
  </si>
  <si>
    <t>Pedro</t>
  </si>
  <si>
    <t>Mario</t>
  </si>
  <si>
    <t>Maria</t>
  </si>
  <si>
    <t>Poliza</t>
  </si>
  <si>
    <t>Cliente</t>
  </si>
  <si>
    <t>El consorcio debe evaluar el GEC de cada empresa incluida dentro de él</t>
  </si>
  <si>
    <t>Cúmulos por GEC y Consorcios</t>
  </si>
  <si>
    <t>Módulo / Sección</t>
  </si>
  <si>
    <t>Funcionalidad</t>
  </si>
  <si>
    <t>SIS9</t>
  </si>
  <si>
    <t>SIS11</t>
  </si>
  <si>
    <t>Estado</t>
  </si>
  <si>
    <t>Brecha</t>
  </si>
  <si>
    <t>Acción</t>
  </si>
  <si>
    <t>Observaciones</t>
  </si>
  <si>
    <t>✅</t>
  </si>
  <si>
    <t>❌</t>
  </si>
  <si>
    <t>No Existe</t>
  </si>
  <si>
    <t>Sí</t>
  </si>
  <si>
    <t>Desarrollar</t>
  </si>
  <si>
    <t>Emisión</t>
  </si>
  <si>
    <t>Parcial</t>
  </si>
  <si>
    <t>⚠️</t>
  </si>
  <si>
    <t>Datos generales de la fianza</t>
  </si>
  <si>
    <t>Objeto asegurado Fianza</t>
  </si>
  <si>
    <t>Cúmulo Fianza</t>
  </si>
  <si>
    <t>Existe</t>
  </si>
  <si>
    <t>No</t>
  </si>
  <si>
    <t>Ninguna</t>
  </si>
  <si>
    <t>Si</t>
  </si>
  <si>
    <t>Ajuste catálogo</t>
  </si>
  <si>
    <t>La vigencia de la fianza aunque de entrada se seleccione por el usuario deberá ser recalculada en base a la vigencia de las coberturas, tomando la vigencia inicial de la cobertura básica y la vigencia mayor de las coberturas dependientes</t>
  </si>
  <si>
    <t>Cotización</t>
  </si>
  <si>
    <t>Validar configuración</t>
  </si>
  <si>
    <t>1. SE debe revisar y corregir el uso que tienen los catálogos: Tipo de Vigencia y Tipo Calendario, el Catálogo de Actividad no corresponde con GLOBAL.
2. Validar que el catálogo de clientes en el campo A Favor de, cumpla con el origen de datos que usa GLOBAL, ya sea con un rol no un tipo de dato del cliente.
3. Se debe habilitar la opción para registrar coberturas y ver resumen de coberturas que se implementó en incendio ahora en Fianzas.</t>
  </si>
  <si>
    <t>1. Actualmente el sistema cuenta con una configuración base, se requiere una revisión final para validar si algunos de las tarifas de entrada son fórmulas o valor de entrada reales.</t>
  </si>
  <si>
    <t>Reaseguro</t>
  </si>
  <si>
    <t>Validar cálculo</t>
  </si>
  <si>
    <t>1. Actualmente el sistema cuenta con la distribución de reaseguro, pero en las pruebas se puedo observar que al momento de cambiar la suma y recotizar el sistema no aplica el contrato de manera automatica, se tuvo que hacer manualmente y es necesario que sea automático</t>
  </si>
  <si>
    <t>Distribución</t>
  </si>
  <si>
    <t>Configurar</t>
  </si>
  <si>
    <t>1. Actualmente el sistema cuenta con la generación de coaseguro, se deberá configurar para que se pueda aplicar coaseguro.
2. Coaseguro deberá verse reflejado en el formulario personalizado de distribución de reaseguro, permitiendo gestionar dicho coaseguro.
3. Ver en versión de GLOBAL manejo de Gasto por parte de coaseguro cuando se perfila como un participante y no lider</t>
  </si>
  <si>
    <t>1. Actualmente el sistema cuenta con los cálculos de cúmulo por cliente, póliza y GEC, sin embargo, no cuenta con la validación correcta para consorcios.
2. Se debe validar que para un consorcio el sistema ejecute un cúmulo por cada empresa o contacto incluido en el grupo económico y si uno de esta empresas tiene GEC debe evaluarse correctamente.</t>
  </si>
  <si>
    <t>Poliza Fianza</t>
  </si>
  <si>
    <t>Oferta Fianza</t>
  </si>
  <si>
    <t>Contrato de Fianza</t>
  </si>
  <si>
    <t>Reporte: FJ_GarantiaJ_Bas313, Condición: Plan: JUD_BAS - Cob: 313</t>
  </si>
  <si>
    <t>Reporte: FJ_GarantiaJ_OAJ315, Condición: Plan: JUD_BAS - Cob: 315</t>
  </si>
  <si>
    <t>Reporte: CondGen_314, Condición: Plan: JUD_BAS - Cob: 314</t>
  </si>
  <si>
    <t>Reporte: FJ_GarantiaJ_IS313, Condición: Plan: JUD_IS - Cob: 313</t>
  </si>
  <si>
    <t>Reporte: FM_Global_VT341, Condición: Plan: 84_2 - Cob: 341</t>
  </si>
  <si>
    <t>Reporte: FM_Tercero_VT353, Condición: Plan: 84_2 - Cob: 353</t>
  </si>
  <si>
    <t>Reporte: FC_GarantiaC_OG303, Condición: Plan: 84_2 - Cob: 331</t>
  </si>
  <si>
    <t>Reporte: FC_GarantiaA_OP310, Condición: Plan: 84_2 - Cob: 334</t>
  </si>
  <si>
    <t>Reporte: FS_Propuesta_SBG316_ASTOR, Condición: Plan: PROP - GA - Cob: 316</t>
  </si>
  <si>
    <t>Reporte: contrato_fianza_preelaborada, Condición: Plan: PROP - GA - Cob: 317</t>
  </si>
  <si>
    <t>Reporte: contrato_fianza_preelaborada, Condición: Plan: PROP - GA - Cob: 318</t>
  </si>
  <si>
    <t>Reporte: FC_GarantiaC_SBGobierno_319, Condición: Plan: FIAGCCOG - Cob: 303</t>
  </si>
  <si>
    <t>Reporte: FC_GarantiaC_OP304, Condición: Plan: FIAGCCOP - Cob: 304</t>
  </si>
  <si>
    <t>Reporte: CondGen_305, Condición: Plan: FIAGCCAC - Cob: 305</t>
  </si>
  <si>
    <t>Reporte: FC_PagoAnticipadoPrivado, Condición: Plan: ANTICIPO - Cob: 310</t>
  </si>
  <si>
    <t>Reporte: CondGen_309_Gobierno, Condición: Plan: ANTICIPO - Cob: 309</t>
  </si>
  <si>
    <t>Reporte: CondGen_311, Condición: Plan: ANTICIPO - Cob: 311</t>
  </si>
  <si>
    <t>Reporte: CondGen_308, Condición: Plan: PAGO - Cob: 308</t>
  </si>
  <si>
    <t>Reporte: CondGen_306, Condición: Plan: PAGO - Cob: 306</t>
  </si>
  <si>
    <t>Reporte: CondGen_307, Condición: Plan: PAGO - Cob: 307</t>
  </si>
  <si>
    <t>Reporte: FC_GarantiaP_OP, Condición: Plan: PROPUESTA - Cob: 301</t>
  </si>
  <si>
    <t>Reporte: FS_Propuesta_SBG316, Condición: Plan: PROPUESTA - Cob: 300</t>
  </si>
  <si>
    <t>Reporte: CondGen_302, Condición: Plan: PROPUESTA - Cob: 302</t>
  </si>
  <si>
    <t>Reporte: CondGen_309, Condición: Plan: ANTICIPO - Cob: 326</t>
  </si>
  <si>
    <t>Reporte: FC_GarantiaA_SBAC328, Condición: Plan: ANTICIPO - Cob: 328</t>
  </si>
  <si>
    <t>Reporte: FC_GarantiaA_SBP327, Condición: Plan: ANTICIPO - Cob: 327</t>
  </si>
  <si>
    <t>Reporte: FC_GarantiaP_SBAC325, Condición: Plan: PAGO - Cob: 325</t>
  </si>
  <si>
    <t>Reporte: FS_GarantiaP_SBG323, Condición: Plan: PAGO - Cob: 323</t>
  </si>
  <si>
    <t>Reporte: FS_GarantiaP_SBP324, Condición: Plan: PAGO - Cob: 324</t>
  </si>
  <si>
    <t>Reporte: CondGen_317, Condición: Plan: PROPUESTA - Cob: 317</t>
  </si>
  <si>
    <t>Reporte: CondGen_318, Condición: Plan: PROPUESTA - Cob: 318</t>
  </si>
  <si>
    <t>Reporte: FS_Propuesta_SBG316, Condición: Plan: PROPUESTA - Cob: 316</t>
  </si>
  <si>
    <t>Reporte: FC_GarantiaC_SBGobierno_319, Condición: Plan: FCSBG - Cob: 319</t>
  </si>
  <si>
    <t>Reporte: FC_GarantiaC_OP321, Condición: Plan: FCSBP - Cob: 321</t>
  </si>
  <si>
    <t>Reporte: FC_CumSum_BACanal_322, Condición: Plan: FCSBAC - Cob: 322</t>
  </si>
  <si>
    <t>Reporte: FM_Basico_VT341, Condición: Plan: FIAMIS1 - Cob: 341</t>
  </si>
  <si>
    <t>Reporte: CondGen_329, Condición: Plan: FIAMIS1 - Cob: 329</t>
  </si>
  <si>
    <t>Reporte: CondGen_337, Condición: Plan: FIAMIS1 - Cob: 337</t>
  </si>
  <si>
    <t>Reporte: CondGen_340, Condición: Plan: FIAMIS1 - Cob: 340</t>
  </si>
  <si>
    <t>Reporte: FC_GarantiaA_OP310, Condición: Plan: FIAMIS1 - Cob: 334</t>
  </si>
  <si>
    <t>Reporte: FC_GarantiaC_SBGobierno_319, Condición: Plan: FIAMIS1 - Cob: 331</t>
  </si>
  <si>
    <t>Reporte: CondGen_317, Condición: Plan: GPESPECIAL - Cob: 317</t>
  </si>
  <si>
    <t>Reporte: FS_Propuesta_SBG316, Condición: Plan: GPESPECIAL - Cob: 316</t>
  </si>
  <si>
    <t>Reporte: FC_GarantiaC_OP321, Condición: Plan: CBESPECIAL - Cob: 321</t>
  </si>
  <si>
    <t>Reporte: FC_GarantiaC_SBGobierno_319, Condición: Plan: CBESPECIAL - Cob: 319</t>
  </si>
  <si>
    <t>Facturación</t>
  </si>
  <si>
    <t>Contacto</t>
  </si>
  <si>
    <t>Grupo Económico</t>
  </si>
  <si>
    <t>Ajustar</t>
  </si>
  <si>
    <t>Accionistas</t>
  </si>
  <si>
    <t>1. Toda empresa o contacto de tipo empresa deberá poder registrar su desglose de accionistas con la información: Nombre Accionistas, Porcentaje, Nro, Cobis, PEP.
2. Todo accionista deberá ser un contacto debidamente registrado, no existe filtro en si es persona o empresa.</t>
  </si>
  <si>
    <t>1. Debe existir un campo en dónde se puedan visualizar los contactos de tipo grupo económico y poder asignar un GEC a la empresa
2. En caso de agregar un contacto de tipo empresa a un grupo económico el sistema deberá automáticamente asociar dicho GEC a la empresa agregada.</t>
  </si>
  <si>
    <t>1. Grupo económico no usa % por empresa, eliminar campo.
2. Ningún contacto que tenga rol de Grupo Económico deberá permitir poder asociarle otro rol diferente.</t>
  </si>
  <si>
    <t>1. El campo Nombre Consorciados no es necesario, debe tomar el nombre del contacto Consorcio que se está agregando.
2. Un contacto que tiene rol de consorcio no debería tener otro rol distinto</t>
  </si>
  <si>
    <t>1. Cuando exista coaseguro y dicho coaseguro sea con un contacto con rol de banco el sistema deberá cobrar un impuesto diferido del 7% sobre la prima de coaseguro, en caso contrario mantener el cálculo del 5%</t>
  </si>
  <si>
    <t>Desarrollar y configurar en todos los productos de fianzas</t>
  </si>
  <si>
    <t>Cúmulo Detalle</t>
  </si>
  <si>
    <t>Endosos</t>
  </si>
  <si>
    <t>Formato endoso</t>
  </si>
  <si>
    <t>Habilitar formato de endoso según GLOBAL</t>
  </si>
  <si>
    <t xml:space="preserve">Cambio de vigencia, mueve las fechas de las coberturas, validando ls coberturas dependientes, no afecta ni prima ni suma, solo vigencias
No Afecta reaseguro
Actualiza la vigencia de la fianza
Si no se marca la opción de orden de proceder no se debe permitir ejecutar el endoso de orden de proceder
En fianza garantia cumplimiento de gobierno se debe marcar automáticamente la orden de proceder
En facturación histórica se deben ver todos los movimientos
</t>
  </si>
  <si>
    <t>Extensión de vigencia</t>
  </si>
  <si>
    <t>Se pueden mover cobertura principal y cobertura de mantenimiento
Se puede mover fecha final de la cobertura de mantenimiento
Endoso permite aplicar un descuento/recargo inmerso en el mismo endoso de extensión
Genera su respectivo reaseguro
Poder modificar el reaseguro antes de confirmar
SE mueven las fechas de las coberturas en base a la configuración de principal-dependientes
Ver cómo lo hace sis9 para calcular la extensión/reducción de vigencia</t>
  </si>
  <si>
    <t>Se genera reaseguro previo a confirmar y modificarlo antes de confirmar.</t>
  </si>
  <si>
    <t>Bordereau</t>
  </si>
  <si>
    <t>Se puede modificar el número del endoso posterior a confirmarlo</t>
  </si>
  <si>
    <t>Cancelación</t>
  </si>
  <si>
    <t>Sis9 cancela cada recibo por separado</t>
  </si>
  <si>
    <t>Estado Fianza</t>
  </si>
  <si>
    <t>Validar que todo movimientos se refleje correctamente en el borderó
Validar diseño de bordereau de emisión vs sis9, ver filtros y diseño</t>
  </si>
  <si>
    <t xml:space="preserve">Ver si podemos definir una vigencia automática </t>
  </si>
  <si>
    <t>Validar si el sistema cotiza o simplementa aplica prorrata</t>
  </si>
  <si>
    <t>Cambio de SA</t>
  </si>
  <si>
    <t>Endoso de cambio de OA</t>
  </si>
  <si>
    <t>Jessica enviará lista para campos editables
Modificar Garantías (valor - descripción)</t>
  </si>
  <si>
    <t>Cuotas</t>
  </si>
  <si>
    <t>Validar con Linneth el calendario de pagos de fianzas</t>
  </si>
  <si>
    <t>Cambio de forma de pago</t>
  </si>
  <si>
    <t>Validar consecutivo de endoso, debería ser 1 para identificar que es interno</t>
  </si>
  <si>
    <t>Mapa del ente</t>
  </si>
  <si>
    <t>Ver mapa del ente, validar cómo funciona en sis11</t>
  </si>
  <si>
    <t>Renovación</t>
  </si>
  <si>
    <t>Fianzas judiciales se renuevan y fianzas miscelaneas ramo 83 y 84</t>
  </si>
  <si>
    <t>Endoso de Orden de proceder</t>
  </si>
  <si>
    <t>Endoso</t>
  </si>
  <si>
    <t>Validar y Ajustar</t>
  </si>
  <si>
    <t>Emision</t>
  </si>
  <si>
    <t>Existe un estado de activo o inactivo, por ahora no se atenderá, se validará la necesidad previamente</t>
  </si>
  <si>
    <t>Validar y Configurar</t>
  </si>
  <si>
    <t xml:space="preserve">El contrato no tiene configuración definida en facultativo de reaseguradores, se solicita con cada caso
Se valida la distribución de reaseguradores
Montar reaseguradores y corredores (Catalogo)
Habilitar corredor en el formulario de reaseguro </t>
  </si>
  <si>
    <t>Esperar</t>
  </si>
  <si>
    <t>Se requiere una vista en dónde se pueda consultar el cúmulo de fianzas vigentes por cliente, póliza y grupo económico
Cumulo solo para fianzas
Solo fianzas vigentes - No canceladas y según vigencia</t>
  </si>
  <si>
    <t>Siniestro</t>
  </si>
  <si>
    <t>Datos Generales</t>
  </si>
  <si>
    <t>Para reestrcturar de la fecha de emisión del endoso</t>
  </si>
  <si>
    <t>Fecha de cuota apartir de la fecha del endoso, lo mas conveniente es que cada endoso tenga su propio calendario de pago.
El cliente peude pagar un endoso (plan de pago) y estando pendiente cualquier otro (plan de pago)</t>
  </si>
  <si>
    <t>Reporte Perfil del cliente</t>
  </si>
  <si>
    <t>Reporte existe, hay que validar su generación</t>
  </si>
  <si>
    <t>Prima incobrable</t>
  </si>
  <si>
    <t>Inclusión/exclusión de cobertura</t>
  </si>
  <si>
    <t>No está en el ramo de fianzas
Pero muestran cómo funciona en otros ramos
Validar cálculos de primas y reestructuración de cuotas
Validar la contabilización del endoso</t>
  </si>
  <si>
    <t xml:space="preserve">Sistema debe permitir cancelar una prima incobrable aún cuando la póliza esté cancelada
Endoso cancelar únicamente prima pendiente sin importar fechas o prorrata.
No hay endoso posterior al de incobrable, cualquier cambio requiere crear una nueva póliza
</t>
  </si>
  <si>
    <t>Objeto asegurado</t>
  </si>
  <si>
    <t>Actualmente no existe objeto asegurado en sis11 (validar)
Validar campos de sis11 vs sis9 en objeto asegurado</t>
  </si>
  <si>
    <t>Creación de reservas (gasto/pago)</t>
  </si>
  <si>
    <t>Pagos de gasto o pagos</t>
  </si>
  <si>
    <t>Resumen del reclamo</t>
  </si>
  <si>
    <t>Recuperaciones</t>
  </si>
  <si>
    <t>Actualmente se usa mucho para información rápida, pero la estructura es diferente a la del sis11</t>
  </si>
  <si>
    <t>Sistema debe permitir realizar pagos o gastos</t>
  </si>
  <si>
    <t>Sistema debe permitir realizar reservas de gasto o pagos</t>
  </si>
  <si>
    <t>Documentos finiquitos</t>
  </si>
  <si>
    <t>Desarrollar reportes de finiquitos, validar cuántos existen en sis9 (Jessica pasará esos documentos)</t>
  </si>
  <si>
    <t>Actualmente no configurado en SIS9, pero expresan que se requiere porque es importante para el ramo
Ver si al crear la recuperacón en reclamo el sistema cotnabiliza
Recuperación se crea en reclamos y luego aparece en caja y se permite cobrar usando su respectiva transacción</t>
  </si>
  <si>
    <t>Configurar Causas
Configurar tipos de reclamantes
Guardar datos según campos requeridos
Ver campos que tienen sis9 vs sis11</t>
  </si>
  <si>
    <t>Contabilización</t>
  </si>
  <si>
    <t>Sistema deberá generar su debido asiento contable usando las cuentas del ramo de fianzas</t>
  </si>
  <si>
    <t>Cobros</t>
  </si>
  <si>
    <t>Reservas</t>
  </si>
  <si>
    <t>Pagos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</si>
</sst>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17">
    <xf numFmtId="0" fontId="0" fillId="0" borderId="0" xfId="0"/>
    <xf numFmtId="0" fontId="0" fillId="0" borderId="0" xfId="0" applyAlignment="1">
      <alignment wrapText="1"/>
    </xf>
    <xf numFmtId="43" fontId="0" fillId="0" borderId="0" xfId="1" applyFont="1"/>
    <xf numFmtId="43" fontId="0" fillId="0" borderId="0" xfId="0" applyNumberFormat="1"/>
    <xf numFmtId="0" fontId="2" fillId="0" borderId="0" xfId="0" applyFont="1"/>
    <xf numFmtId="43" fontId="2" fillId="0" borderId="0" xfId="1" applyFont="1"/>
    <xf numFmtId="0" fontId="2"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 fillId="0" borderId="0" xfId="0" applyFont="1" applyAlignment="1">
      <alignment horizontal="left" vertical="top" wrapText="1"/>
    </xf>
    <xf numFmtId="0" fontId="0" fillId="0" borderId="0" xfId="0" applyAlignment="1">
      <alignment horizontal="left" vertical="top" wrapText="1"/>
    </xf>
    <xf numFmtId="0" fontId="2" fillId="0" borderId="0" xfId="0" applyFont="1" applyAlignment="1">
      <alignment wrapText="1"/>
    </xf>
    <xf numFmtId="0" fontId="2" fillId="0" borderId="0" xfId="0" applyFont="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0" xfId="0" applyAlignment="1">
      <alignment vertical="center" wrapText="1"/>
    </xf>
    <xf numFmtId="0" fontId="0" fillId="0" borderId="0" xfId="0" applyAlignment="1">
      <alignment vertical="center"/>
    </xf>
  </cellXfs>
  <cellStyles count="2">
    <cellStyle name="Millares"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FF015-09F1-4425-AE5B-26E9F92C1770}">
  <sheetPr>
    <tabColor rgb="FFFF0000"/>
  </sheetPr>
  <dimension ref="A1:H56"/>
  <sheetViews>
    <sheetView topLeftCell="A38" workbookViewId="0">
      <selection activeCell="B3" sqref="B3"/>
    </sheetView>
  </sheetViews>
  <sheetFormatPr baseColWidth="10" defaultRowHeight="15" x14ac:dyDescent="0.25"/>
  <cols>
    <col min="1" max="1" width="21.42578125" style="8" bestFit="1" customWidth="1"/>
    <col min="2" max="2" width="29.42578125" style="8" bestFit="1" customWidth="1"/>
    <col min="3" max="3" width="4.5703125" style="8" bestFit="1" customWidth="1"/>
    <col min="4" max="4" width="5.5703125" style="8" bestFit="1" customWidth="1"/>
    <col min="5" max="5" width="9.28515625" style="8" bestFit="1" customWidth="1"/>
    <col min="6" max="6" width="7" style="8" bestFit="1" customWidth="1"/>
    <col min="7" max="7" width="19.85546875" style="8" bestFit="1" customWidth="1"/>
    <col min="8" max="8" width="108.7109375" style="10" customWidth="1"/>
  </cols>
  <sheetData>
    <row r="1" spans="1:8" x14ac:dyDescent="0.25">
      <c r="A1" s="6" t="s">
        <v>50</v>
      </c>
      <c r="B1" s="6" t="s">
        <v>51</v>
      </c>
      <c r="C1" s="6" t="s">
        <v>52</v>
      </c>
      <c r="D1" s="6" t="s">
        <v>53</v>
      </c>
      <c r="E1" s="6" t="s">
        <v>54</v>
      </c>
      <c r="F1" s="6" t="s">
        <v>55</v>
      </c>
      <c r="G1" s="6" t="s">
        <v>56</v>
      </c>
      <c r="H1" s="9" t="s">
        <v>57</v>
      </c>
    </row>
    <row r="2" spans="1:8" ht="30" x14ac:dyDescent="0.25">
      <c r="A2" s="6" t="s">
        <v>63</v>
      </c>
      <c r="B2" s="6" t="s">
        <v>66</v>
      </c>
      <c r="C2" s="8" t="s">
        <v>58</v>
      </c>
      <c r="D2" s="8" t="s">
        <v>65</v>
      </c>
      <c r="E2" s="6" t="s">
        <v>64</v>
      </c>
      <c r="F2" s="6" t="s">
        <v>72</v>
      </c>
      <c r="G2" s="6" t="s">
        <v>71</v>
      </c>
      <c r="H2" s="9" t="s">
        <v>74</v>
      </c>
    </row>
    <row r="3" spans="1:8" ht="90" x14ac:dyDescent="0.25">
      <c r="A3" s="6" t="s">
        <v>63</v>
      </c>
      <c r="B3" s="6" t="s">
        <v>67</v>
      </c>
      <c r="C3" s="8" t="s">
        <v>58</v>
      </c>
      <c r="D3" s="8" t="s">
        <v>65</v>
      </c>
      <c r="E3" s="6" t="s">
        <v>64</v>
      </c>
      <c r="F3" s="6" t="s">
        <v>72</v>
      </c>
      <c r="G3" s="6" t="s">
        <v>73</v>
      </c>
      <c r="H3" s="9" t="s">
        <v>77</v>
      </c>
    </row>
    <row r="4" spans="1:8" ht="30" x14ac:dyDescent="0.25">
      <c r="A4" s="6" t="s">
        <v>63</v>
      </c>
      <c r="B4" s="6" t="s">
        <v>75</v>
      </c>
      <c r="C4" s="8" t="s">
        <v>58</v>
      </c>
      <c r="D4" s="8" t="s">
        <v>65</v>
      </c>
      <c r="E4" s="6" t="s">
        <v>64</v>
      </c>
      <c r="F4" s="6" t="s">
        <v>72</v>
      </c>
      <c r="G4" s="6" t="s">
        <v>76</v>
      </c>
      <c r="H4" s="9" t="s">
        <v>78</v>
      </c>
    </row>
    <row r="5" spans="1:8" x14ac:dyDescent="0.25">
      <c r="A5" s="8" t="s">
        <v>175</v>
      </c>
      <c r="B5" s="8" t="s">
        <v>157</v>
      </c>
      <c r="C5" s="8" t="s">
        <v>58</v>
      </c>
      <c r="D5" s="8" t="s">
        <v>65</v>
      </c>
      <c r="E5" s="6" t="s">
        <v>64</v>
      </c>
      <c r="F5" s="6" t="s">
        <v>70</v>
      </c>
      <c r="G5" s="6" t="s">
        <v>71</v>
      </c>
      <c r="H5" s="1" t="s">
        <v>176</v>
      </c>
    </row>
    <row r="6" spans="1:8" x14ac:dyDescent="0.25">
      <c r="A6" s="8" t="s">
        <v>63</v>
      </c>
      <c r="B6" s="1" t="s">
        <v>66</v>
      </c>
      <c r="C6" s="8" t="s">
        <v>58</v>
      </c>
      <c r="D6" s="8" t="s">
        <v>65</v>
      </c>
      <c r="E6" s="6" t="s">
        <v>64</v>
      </c>
      <c r="F6" s="6" t="s">
        <v>72</v>
      </c>
      <c r="G6" s="6" t="s">
        <v>177</v>
      </c>
      <c r="H6" s="1" t="s">
        <v>159</v>
      </c>
    </row>
    <row r="7" spans="1:8" ht="30" x14ac:dyDescent="0.25">
      <c r="A7" s="6" t="s">
        <v>63</v>
      </c>
      <c r="B7" s="6" t="s">
        <v>134</v>
      </c>
      <c r="C7" s="8" t="s">
        <v>58</v>
      </c>
      <c r="D7" s="8" t="s">
        <v>59</v>
      </c>
      <c r="E7" s="6" t="s">
        <v>60</v>
      </c>
      <c r="F7" s="6" t="s">
        <v>72</v>
      </c>
      <c r="G7" s="6" t="s">
        <v>62</v>
      </c>
      <c r="H7" s="9" t="s">
        <v>143</v>
      </c>
    </row>
    <row r="8" spans="1:8" x14ac:dyDescent="0.25">
      <c r="A8" s="6" t="s">
        <v>8</v>
      </c>
      <c r="B8" s="6" t="s">
        <v>86</v>
      </c>
      <c r="C8" s="8" t="s">
        <v>58</v>
      </c>
      <c r="D8" s="8" t="s">
        <v>59</v>
      </c>
      <c r="E8" s="6" t="s">
        <v>60</v>
      </c>
      <c r="F8" s="6" t="s">
        <v>61</v>
      </c>
      <c r="G8" s="6" t="s">
        <v>62</v>
      </c>
      <c r="H8" s="9" t="s">
        <v>144</v>
      </c>
    </row>
    <row r="9" spans="1:8" x14ac:dyDescent="0.25">
      <c r="A9" s="6" t="s">
        <v>8</v>
      </c>
      <c r="B9" s="6" t="s">
        <v>87</v>
      </c>
      <c r="C9" s="8" t="s">
        <v>58</v>
      </c>
      <c r="D9" s="8" t="s">
        <v>59</v>
      </c>
      <c r="E9" s="6" t="s">
        <v>60</v>
      </c>
      <c r="F9" s="6" t="s">
        <v>61</v>
      </c>
      <c r="G9" s="6" t="s">
        <v>62</v>
      </c>
      <c r="H9" s="9" t="s">
        <v>144</v>
      </c>
    </row>
    <row r="10" spans="1:8" x14ac:dyDescent="0.25">
      <c r="A10" s="6" t="s">
        <v>8</v>
      </c>
      <c r="B10" s="6" t="s">
        <v>16</v>
      </c>
      <c r="C10" s="8" t="s">
        <v>58</v>
      </c>
      <c r="D10" s="8" t="s">
        <v>58</v>
      </c>
      <c r="E10" s="6" t="s">
        <v>69</v>
      </c>
      <c r="F10" s="6" t="s">
        <v>70</v>
      </c>
      <c r="G10" s="6" t="s">
        <v>71</v>
      </c>
      <c r="H10" s="9"/>
    </row>
    <row r="11" spans="1:8" x14ac:dyDescent="0.25">
      <c r="A11" s="6" t="s">
        <v>8</v>
      </c>
      <c r="B11" s="6" t="s">
        <v>88</v>
      </c>
      <c r="C11" s="8" t="s">
        <v>58</v>
      </c>
      <c r="D11" s="8" t="s">
        <v>59</v>
      </c>
      <c r="E11" s="6" t="s">
        <v>60</v>
      </c>
      <c r="F11" s="6" t="s">
        <v>61</v>
      </c>
      <c r="G11" s="6" t="s">
        <v>62</v>
      </c>
      <c r="H11" s="9" t="s">
        <v>89</v>
      </c>
    </row>
    <row r="12" spans="1:8" x14ac:dyDescent="0.25">
      <c r="A12" s="6" t="s">
        <v>8</v>
      </c>
      <c r="B12" s="6" t="s">
        <v>88</v>
      </c>
      <c r="C12" s="8" t="s">
        <v>58</v>
      </c>
      <c r="D12" s="8" t="s">
        <v>59</v>
      </c>
      <c r="E12" s="6" t="s">
        <v>60</v>
      </c>
      <c r="F12" s="6" t="s">
        <v>61</v>
      </c>
      <c r="G12" s="6" t="s">
        <v>62</v>
      </c>
      <c r="H12" s="9" t="s">
        <v>90</v>
      </c>
    </row>
    <row r="13" spans="1:8" x14ac:dyDescent="0.25">
      <c r="A13" s="6" t="s">
        <v>8</v>
      </c>
      <c r="B13" s="6" t="s">
        <v>88</v>
      </c>
      <c r="C13" s="8" t="s">
        <v>58</v>
      </c>
      <c r="D13" s="8" t="s">
        <v>59</v>
      </c>
      <c r="E13" s="6" t="s">
        <v>60</v>
      </c>
      <c r="F13" s="6" t="s">
        <v>61</v>
      </c>
      <c r="G13" s="6" t="s">
        <v>62</v>
      </c>
      <c r="H13" s="9" t="s">
        <v>91</v>
      </c>
    </row>
    <row r="14" spans="1:8" x14ac:dyDescent="0.25">
      <c r="A14" s="6" t="s">
        <v>8</v>
      </c>
      <c r="B14" s="6" t="s">
        <v>88</v>
      </c>
      <c r="C14" s="8" t="s">
        <v>58</v>
      </c>
      <c r="D14" s="8" t="s">
        <v>59</v>
      </c>
      <c r="E14" s="6" t="s">
        <v>60</v>
      </c>
      <c r="F14" s="6" t="s">
        <v>61</v>
      </c>
      <c r="G14" s="6" t="s">
        <v>62</v>
      </c>
      <c r="H14" s="9" t="s">
        <v>92</v>
      </c>
    </row>
    <row r="15" spans="1:8" x14ac:dyDescent="0.25">
      <c r="A15" s="6" t="s">
        <v>8</v>
      </c>
      <c r="B15" s="8" t="s">
        <v>88</v>
      </c>
      <c r="C15" s="8" t="s">
        <v>58</v>
      </c>
      <c r="D15" s="8" t="s">
        <v>59</v>
      </c>
      <c r="E15" s="6" t="s">
        <v>60</v>
      </c>
      <c r="F15" s="6" t="s">
        <v>61</v>
      </c>
      <c r="G15" s="6" t="s">
        <v>62</v>
      </c>
      <c r="H15" s="10" t="s">
        <v>93</v>
      </c>
    </row>
    <row r="16" spans="1:8" x14ac:dyDescent="0.25">
      <c r="A16" s="6" t="s">
        <v>8</v>
      </c>
      <c r="B16" s="8" t="s">
        <v>88</v>
      </c>
      <c r="C16" s="8" t="s">
        <v>58</v>
      </c>
      <c r="D16" s="8" t="s">
        <v>59</v>
      </c>
      <c r="E16" s="6" t="s">
        <v>60</v>
      </c>
      <c r="F16" s="6" t="s">
        <v>61</v>
      </c>
      <c r="G16" s="6" t="s">
        <v>62</v>
      </c>
      <c r="H16" s="10" t="s">
        <v>94</v>
      </c>
    </row>
    <row r="17" spans="1:8" x14ac:dyDescent="0.25">
      <c r="A17" s="6" t="s">
        <v>8</v>
      </c>
      <c r="B17" s="8" t="s">
        <v>88</v>
      </c>
      <c r="C17" s="8" t="s">
        <v>58</v>
      </c>
      <c r="D17" s="8" t="s">
        <v>59</v>
      </c>
      <c r="E17" s="6" t="s">
        <v>60</v>
      </c>
      <c r="F17" s="6" t="s">
        <v>61</v>
      </c>
      <c r="G17" s="6" t="s">
        <v>62</v>
      </c>
      <c r="H17" s="10" t="s">
        <v>95</v>
      </c>
    </row>
    <row r="18" spans="1:8" x14ac:dyDescent="0.25">
      <c r="A18" s="6" t="s">
        <v>8</v>
      </c>
      <c r="B18" s="8" t="s">
        <v>88</v>
      </c>
      <c r="C18" s="8" t="s">
        <v>58</v>
      </c>
      <c r="D18" s="8" t="s">
        <v>59</v>
      </c>
      <c r="E18" s="6" t="s">
        <v>60</v>
      </c>
      <c r="F18" s="6" t="s">
        <v>61</v>
      </c>
      <c r="G18" s="6" t="s">
        <v>62</v>
      </c>
      <c r="H18" s="10" t="s">
        <v>96</v>
      </c>
    </row>
    <row r="19" spans="1:8" x14ac:dyDescent="0.25">
      <c r="A19" s="6" t="s">
        <v>8</v>
      </c>
      <c r="B19" s="8" t="s">
        <v>88</v>
      </c>
      <c r="C19" s="8" t="s">
        <v>58</v>
      </c>
      <c r="D19" s="8" t="s">
        <v>59</v>
      </c>
      <c r="E19" s="6" t="s">
        <v>60</v>
      </c>
      <c r="F19" s="6" t="s">
        <v>61</v>
      </c>
      <c r="G19" s="6" t="s">
        <v>62</v>
      </c>
      <c r="H19" s="10" t="s">
        <v>97</v>
      </c>
    </row>
    <row r="20" spans="1:8" x14ac:dyDescent="0.25">
      <c r="A20" s="6" t="s">
        <v>8</v>
      </c>
      <c r="B20" s="8" t="s">
        <v>88</v>
      </c>
      <c r="C20" s="8" t="s">
        <v>58</v>
      </c>
      <c r="D20" s="8" t="s">
        <v>59</v>
      </c>
      <c r="E20" s="6" t="s">
        <v>60</v>
      </c>
      <c r="F20" s="6" t="s">
        <v>61</v>
      </c>
      <c r="G20" s="6" t="s">
        <v>62</v>
      </c>
      <c r="H20" s="10" t="s">
        <v>98</v>
      </c>
    </row>
    <row r="21" spans="1:8" x14ac:dyDescent="0.25">
      <c r="A21" s="6" t="s">
        <v>8</v>
      </c>
      <c r="B21" s="8" t="s">
        <v>88</v>
      </c>
      <c r="C21" s="8" t="s">
        <v>58</v>
      </c>
      <c r="D21" s="8" t="s">
        <v>59</v>
      </c>
      <c r="E21" s="6" t="s">
        <v>60</v>
      </c>
      <c r="F21" s="6" t="s">
        <v>61</v>
      </c>
      <c r="G21" s="6" t="s">
        <v>62</v>
      </c>
      <c r="H21" s="10" t="s">
        <v>99</v>
      </c>
    </row>
    <row r="22" spans="1:8" x14ac:dyDescent="0.25">
      <c r="A22" s="6" t="s">
        <v>8</v>
      </c>
      <c r="B22" s="8" t="s">
        <v>88</v>
      </c>
      <c r="C22" s="8" t="s">
        <v>58</v>
      </c>
      <c r="D22" s="8" t="s">
        <v>59</v>
      </c>
      <c r="E22" s="6" t="s">
        <v>60</v>
      </c>
      <c r="F22" s="6" t="s">
        <v>61</v>
      </c>
      <c r="G22" s="6" t="s">
        <v>62</v>
      </c>
      <c r="H22" s="10" t="s">
        <v>100</v>
      </c>
    </row>
    <row r="23" spans="1:8" x14ac:dyDescent="0.25">
      <c r="A23" s="6" t="s">
        <v>8</v>
      </c>
      <c r="B23" s="8" t="s">
        <v>88</v>
      </c>
      <c r="C23" s="8" t="s">
        <v>58</v>
      </c>
      <c r="D23" s="8" t="s">
        <v>59</v>
      </c>
      <c r="E23" s="6" t="s">
        <v>60</v>
      </c>
      <c r="F23" s="6" t="s">
        <v>61</v>
      </c>
      <c r="G23" s="6" t="s">
        <v>62</v>
      </c>
      <c r="H23" s="10" t="s">
        <v>101</v>
      </c>
    </row>
    <row r="24" spans="1:8" x14ac:dyDescent="0.25">
      <c r="A24" s="6" t="s">
        <v>8</v>
      </c>
      <c r="B24" s="8" t="s">
        <v>88</v>
      </c>
      <c r="C24" s="8" t="s">
        <v>58</v>
      </c>
      <c r="D24" s="8" t="s">
        <v>59</v>
      </c>
      <c r="E24" s="6" t="s">
        <v>60</v>
      </c>
      <c r="F24" s="6" t="s">
        <v>61</v>
      </c>
      <c r="G24" s="6" t="s">
        <v>62</v>
      </c>
      <c r="H24" s="10" t="s">
        <v>102</v>
      </c>
    </row>
    <row r="25" spans="1:8" x14ac:dyDescent="0.25">
      <c r="A25" s="6" t="s">
        <v>8</v>
      </c>
      <c r="B25" s="8" t="s">
        <v>88</v>
      </c>
      <c r="C25" s="8" t="s">
        <v>58</v>
      </c>
      <c r="D25" s="8" t="s">
        <v>59</v>
      </c>
      <c r="E25" s="6" t="s">
        <v>60</v>
      </c>
      <c r="F25" s="6" t="s">
        <v>61</v>
      </c>
      <c r="G25" s="6" t="s">
        <v>62</v>
      </c>
      <c r="H25" s="10" t="s">
        <v>103</v>
      </c>
    </row>
    <row r="26" spans="1:8" x14ac:dyDescent="0.25">
      <c r="A26" s="6" t="s">
        <v>8</v>
      </c>
      <c r="B26" s="8" t="s">
        <v>88</v>
      </c>
      <c r="C26" s="8" t="s">
        <v>58</v>
      </c>
      <c r="D26" s="8" t="s">
        <v>59</v>
      </c>
      <c r="E26" s="6" t="s">
        <v>60</v>
      </c>
      <c r="F26" s="6" t="s">
        <v>61</v>
      </c>
      <c r="G26" s="6" t="s">
        <v>62</v>
      </c>
      <c r="H26" s="10" t="s">
        <v>104</v>
      </c>
    </row>
    <row r="27" spans="1:8" x14ac:dyDescent="0.25">
      <c r="A27" s="6" t="s">
        <v>8</v>
      </c>
      <c r="B27" s="8" t="s">
        <v>88</v>
      </c>
      <c r="C27" s="8" t="s">
        <v>58</v>
      </c>
      <c r="D27" s="8" t="s">
        <v>59</v>
      </c>
      <c r="E27" s="6" t="s">
        <v>60</v>
      </c>
      <c r="F27" s="6" t="s">
        <v>61</v>
      </c>
      <c r="G27" s="6" t="s">
        <v>62</v>
      </c>
      <c r="H27" s="10" t="s">
        <v>105</v>
      </c>
    </row>
    <row r="28" spans="1:8" x14ac:dyDescent="0.25">
      <c r="A28" s="6" t="s">
        <v>8</v>
      </c>
      <c r="B28" s="8" t="s">
        <v>88</v>
      </c>
      <c r="C28" s="8" t="s">
        <v>58</v>
      </c>
      <c r="D28" s="8" t="s">
        <v>59</v>
      </c>
      <c r="E28" s="6" t="s">
        <v>60</v>
      </c>
      <c r="F28" s="6" t="s">
        <v>61</v>
      </c>
      <c r="G28" s="6" t="s">
        <v>62</v>
      </c>
      <c r="H28" s="10" t="s">
        <v>106</v>
      </c>
    </row>
    <row r="29" spans="1:8" x14ac:dyDescent="0.25">
      <c r="A29" s="6" t="s">
        <v>8</v>
      </c>
      <c r="B29" s="8" t="s">
        <v>88</v>
      </c>
      <c r="C29" s="8" t="s">
        <v>58</v>
      </c>
      <c r="D29" s="8" t="s">
        <v>59</v>
      </c>
      <c r="E29" s="6" t="s">
        <v>60</v>
      </c>
      <c r="F29" s="6" t="s">
        <v>61</v>
      </c>
      <c r="G29" s="6" t="s">
        <v>62</v>
      </c>
      <c r="H29" s="10" t="s">
        <v>107</v>
      </c>
    </row>
    <row r="30" spans="1:8" x14ac:dyDescent="0.25">
      <c r="A30" s="6" t="s">
        <v>8</v>
      </c>
      <c r="B30" s="8" t="s">
        <v>88</v>
      </c>
      <c r="C30" s="8" t="s">
        <v>58</v>
      </c>
      <c r="D30" s="8" t="s">
        <v>59</v>
      </c>
      <c r="E30" s="6" t="s">
        <v>60</v>
      </c>
      <c r="F30" s="6" t="s">
        <v>61</v>
      </c>
      <c r="G30" s="6" t="s">
        <v>62</v>
      </c>
      <c r="H30" s="10" t="s">
        <v>108</v>
      </c>
    </row>
    <row r="31" spans="1:8" x14ac:dyDescent="0.25">
      <c r="A31" s="6" t="s">
        <v>8</v>
      </c>
      <c r="B31" s="8" t="s">
        <v>88</v>
      </c>
      <c r="C31" s="8" t="s">
        <v>58</v>
      </c>
      <c r="D31" s="8" t="s">
        <v>59</v>
      </c>
      <c r="E31" s="6" t="s">
        <v>60</v>
      </c>
      <c r="F31" s="6" t="s">
        <v>61</v>
      </c>
      <c r="G31" s="6" t="s">
        <v>62</v>
      </c>
      <c r="H31" s="10" t="s">
        <v>109</v>
      </c>
    </row>
    <row r="32" spans="1:8" x14ac:dyDescent="0.25">
      <c r="A32" s="6" t="s">
        <v>8</v>
      </c>
      <c r="B32" s="8" t="s">
        <v>88</v>
      </c>
      <c r="C32" s="8" t="s">
        <v>58</v>
      </c>
      <c r="D32" s="8" t="s">
        <v>59</v>
      </c>
      <c r="E32" s="6" t="s">
        <v>60</v>
      </c>
      <c r="F32" s="6" t="s">
        <v>61</v>
      </c>
      <c r="G32" s="6" t="s">
        <v>62</v>
      </c>
      <c r="H32" s="10" t="s">
        <v>110</v>
      </c>
    </row>
    <row r="33" spans="1:8" x14ac:dyDescent="0.25">
      <c r="A33" s="6" t="s">
        <v>8</v>
      </c>
      <c r="B33" s="8" t="s">
        <v>88</v>
      </c>
      <c r="C33" s="8" t="s">
        <v>58</v>
      </c>
      <c r="D33" s="8" t="s">
        <v>59</v>
      </c>
      <c r="E33" s="6" t="s">
        <v>60</v>
      </c>
      <c r="F33" s="6" t="s">
        <v>61</v>
      </c>
      <c r="G33" s="6" t="s">
        <v>62</v>
      </c>
      <c r="H33" s="10" t="s">
        <v>111</v>
      </c>
    </row>
    <row r="34" spans="1:8" x14ac:dyDescent="0.25">
      <c r="A34" s="6" t="s">
        <v>8</v>
      </c>
      <c r="B34" s="8" t="s">
        <v>88</v>
      </c>
      <c r="C34" s="8" t="s">
        <v>58</v>
      </c>
      <c r="D34" s="8" t="s">
        <v>59</v>
      </c>
      <c r="E34" s="6" t="s">
        <v>60</v>
      </c>
      <c r="F34" s="6" t="s">
        <v>61</v>
      </c>
      <c r="G34" s="6" t="s">
        <v>62</v>
      </c>
      <c r="H34" s="10" t="s">
        <v>112</v>
      </c>
    </row>
    <row r="35" spans="1:8" x14ac:dyDescent="0.25">
      <c r="A35" s="6" t="s">
        <v>8</v>
      </c>
      <c r="B35" s="8" t="s">
        <v>88</v>
      </c>
      <c r="C35" s="8" t="s">
        <v>58</v>
      </c>
      <c r="D35" s="8" t="s">
        <v>59</v>
      </c>
      <c r="E35" s="6" t="s">
        <v>60</v>
      </c>
      <c r="F35" s="6" t="s">
        <v>61</v>
      </c>
      <c r="G35" s="6" t="s">
        <v>62</v>
      </c>
      <c r="H35" s="10" t="s">
        <v>113</v>
      </c>
    </row>
    <row r="36" spans="1:8" x14ac:dyDescent="0.25">
      <c r="A36" s="6" t="s">
        <v>8</v>
      </c>
      <c r="B36" s="8" t="s">
        <v>88</v>
      </c>
      <c r="C36" s="8" t="s">
        <v>58</v>
      </c>
      <c r="D36" s="8" t="s">
        <v>59</v>
      </c>
      <c r="E36" s="6" t="s">
        <v>60</v>
      </c>
      <c r="F36" s="6" t="s">
        <v>61</v>
      </c>
      <c r="G36" s="6" t="s">
        <v>62</v>
      </c>
      <c r="H36" s="10" t="s">
        <v>114</v>
      </c>
    </row>
    <row r="37" spans="1:8" x14ac:dyDescent="0.25">
      <c r="A37" s="6" t="s">
        <v>8</v>
      </c>
      <c r="B37" s="8" t="s">
        <v>88</v>
      </c>
      <c r="C37" s="8" t="s">
        <v>58</v>
      </c>
      <c r="D37" s="8" t="s">
        <v>59</v>
      </c>
      <c r="E37" s="6" t="s">
        <v>60</v>
      </c>
      <c r="F37" s="6" t="s">
        <v>61</v>
      </c>
      <c r="G37" s="6" t="s">
        <v>62</v>
      </c>
      <c r="H37" s="10" t="s">
        <v>115</v>
      </c>
    </row>
    <row r="38" spans="1:8" x14ac:dyDescent="0.25">
      <c r="A38" s="6" t="s">
        <v>8</v>
      </c>
      <c r="B38" s="8" t="s">
        <v>88</v>
      </c>
      <c r="C38" s="8" t="s">
        <v>58</v>
      </c>
      <c r="D38" s="8" t="s">
        <v>59</v>
      </c>
      <c r="E38" s="6" t="s">
        <v>60</v>
      </c>
      <c r="F38" s="6" t="s">
        <v>61</v>
      </c>
      <c r="G38" s="6" t="s">
        <v>62</v>
      </c>
      <c r="H38" s="10" t="s">
        <v>116</v>
      </c>
    </row>
    <row r="39" spans="1:8" x14ac:dyDescent="0.25">
      <c r="A39" s="6" t="s">
        <v>8</v>
      </c>
      <c r="B39" s="8" t="s">
        <v>88</v>
      </c>
      <c r="C39" s="8" t="s">
        <v>58</v>
      </c>
      <c r="D39" s="8" t="s">
        <v>59</v>
      </c>
      <c r="E39" s="6" t="s">
        <v>60</v>
      </c>
      <c r="F39" s="6" t="s">
        <v>61</v>
      </c>
      <c r="G39" s="6" t="s">
        <v>62</v>
      </c>
      <c r="H39" s="10" t="s">
        <v>117</v>
      </c>
    </row>
    <row r="40" spans="1:8" x14ac:dyDescent="0.25">
      <c r="A40" s="6" t="s">
        <v>8</v>
      </c>
      <c r="B40" s="8" t="s">
        <v>88</v>
      </c>
      <c r="C40" s="8" t="s">
        <v>58</v>
      </c>
      <c r="D40" s="8" t="s">
        <v>59</v>
      </c>
      <c r="E40" s="6" t="s">
        <v>60</v>
      </c>
      <c r="F40" s="6" t="s">
        <v>61</v>
      </c>
      <c r="G40" s="6" t="s">
        <v>62</v>
      </c>
      <c r="H40" s="10" t="s">
        <v>118</v>
      </c>
    </row>
    <row r="41" spans="1:8" x14ac:dyDescent="0.25">
      <c r="A41" s="6" t="s">
        <v>8</v>
      </c>
      <c r="B41" s="8" t="s">
        <v>88</v>
      </c>
      <c r="C41" s="8" t="s">
        <v>58</v>
      </c>
      <c r="D41" s="8" t="s">
        <v>59</v>
      </c>
      <c r="E41" s="6" t="s">
        <v>60</v>
      </c>
      <c r="F41" s="6" t="s">
        <v>61</v>
      </c>
      <c r="G41" s="6" t="s">
        <v>62</v>
      </c>
      <c r="H41" s="10" t="s">
        <v>119</v>
      </c>
    </row>
    <row r="42" spans="1:8" x14ac:dyDescent="0.25">
      <c r="A42" s="6" t="s">
        <v>8</v>
      </c>
      <c r="B42" s="8" t="s">
        <v>88</v>
      </c>
      <c r="C42" s="8" t="s">
        <v>58</v>
      </c>
      <c r="D42" s="8" t="s">
        <v>59</v>
      </c>
      <c r="E42" s="6" t="s">
        <v>60</v>
      </c>
      <c r="F42" s="6" t="s">
        <v>61</v>
      </c>
      <c r="G42" s="6" t="s">
        <v>62</v>
      </c>
      <c r="H42" s="10" t="s">
        <v>120</v>
      </c>
    </row>
    <row r="43" spans="1:8" x14ac:dyDescent="0.25">
      <c r="A43" s="6" t="s">
        <v>8</v>
      </c>
      <c r="B43" s="8" t="s">
        <v>88</v>
      </c>
      <c r="C43" s="8" t="s">
        <v>58</v>
      </c>
      <c r="D43" s="8" t="s">
        <v>59</v>
      </c>
      <c r="E43" s="6" t="s">
        <v>60</v>
      </c>
      <c r="F43" s="6" t="s">
        <v>61</v>
      </c>
      <c r="G43" s="6" t="s">
        <v>62</v>
      </c>
      <c r="H43" s="10" t="s">
        <v>121</v>
      </c>
    </row>
    <row r="44" spans="1:8" x14ac:dyDescent="0.25">
      <c r="A44" s="6" t="s">
        <v>8</v>
      </c>
      <c r="B44" s="8" t="s">
        <v>88</v>
      </c>
      <c r="C44" s="8" t="s">
        <v>58</v>
      </c>
      <c r="D44" s="8" t="s">
        <v>59</v>
      </c>
      <c r="E44" s="6" t="s">
        <v>60</v>
      </c>
      <c r="F44" s="6" t="s">
        <v>61</v>
      </c>
      <c r="G44" s="6" t="s">
        <v>62</v>
      </c>
      <c r="H44" s="10" t="s">
        <v>122</v>
      </c>
    </row>
    <row r="45" spans="1:8" x14ac:dyDescent="0.25">
      <c r="A45" s="6" t="s">
        <v>8</v>
      </c>
      <c r="B45" s="8" t="s">
        <v>88</v>
      </c>
      <c r="C45" s="8" t="s">
        <v>58</v>
      </c>
      <c r="D45" s="8" t="s">
        <v>59</v>
      </c>
      <c r="E45" s="6" t="s">
        <v>60</v>
      </c>
      <c r="F45" s="6" t="s">
        <v>61</v>
      </c>
      <c r="G45" s="6" t="s">
        <v>62</v>
      </c>
      <c r="H45" s="10" t="s">
        <v>123</v>
      </c>
    </row>
    <row r="46" spans="1:8" x14ac:dyDescent="0.25">
      <c r="A46" s="6" t="s">
        <v>8</v>
      </c>
      <c r="B46" s="8" t="s">
        <v>88</v>
      </c>
      <c r="C46" s="8" t="s">
        <v>58</v>
      </c>
      <c r="D46" s="8" t="s">
        <v>59</v>
      </c>
      <c r="E46" s="6" t="s">
        <v>60</v>
      </c>
      <c r="F46" s="6" t="s">
        <v>61</v>
      </c>
      <c r="G46" s="6" t="s">
        <v>62</v>
      </c>
      <c r="H46" s="10" t="s">
        <v>124</v>
      </c>
    </row>
    <row r="47" spans="1:8" x14ac:dyDescent="0.25">
      <c r="A47" s="6" t="s">
        <v>8</v>
      </c>
      <c r="B47" s="8" t="s">
        <v>88</v>
      </c>
      <c r="C47" s="8" t="s">
        <v>58</v>
      </c>
      <c r="D47" s="8" t="s">
        <v>59</v>
      </c>
      <c r="E47" s="6" t="s">
        <v>60</v>
      </c>
      <c r="F47" s="6" t="s">
        <v>61</v>
      </c>
      <c r="G47" s="6" t="s">
        <v>62</v>
      </c>
      <c r="H47" s="10" t="s">
        <v>125</v>
      </c>
    </row>
    <row r="48" spans="1:8" x14ac:dyDescent="0.25">
      <c r="A48" s="6" t="s">
        <v>8</v>
      </c>
      <c r="B48" s="8" t="s">
        <v>88</v>
      </c>
      <c r="C48" s="8" t="s">
        <v>58</v>
      </c>
      <c r="D48" s="8" t="s">
        <v>59</v>
      </c>
      <c r="E48" s="6" t="s">
        <v>60</v>
      </c>
      <c r="F48" s="6" t="s">
        <v>61</v>
      </c>
      <c r="G48" s="6" t="s">
        <v>62</v>
      </c>
      <c r="H48" s="10" t="s">
        <v>126</v>
      </c>
    </row>
    <row r="49" spans="1:8" x14ac:dyDescent="0.25">
      <c r="A49" s="6" t="s">
        <v>8</v>
      </c>
      <c r="B49" s="8" t="s">
        <v>88</v>
      </c>
      <c r="C49" s="8" t="s">
        <v>58</v>
      </c>
      <c r="D49" s="8" t="s">
        <v>59</v>
      </c>
      <c r="E49" s="6" t="s">
        <v>60</v>
      </c>
      <c r="F49" s="6" t="s">
        <v>61</v>
      </c>
      <c r="G49" s="6" t="s">
        <v>62</v>
      </c>
      <c r="H49" s="10" t="s">
        <v>127</v>
      </c>
    </row>
    <row r="50" spans="1:8" x14ac:dyDescent="0.25">
      <c r="A50" s="6" t="s">
        <v>8</v>
      </c>
      <c r="B50" s="8" t="s">
        <v>88</v>
      </c>
      <c r="C50" s="8" t="s">
        <v>58</v>
      </c>
      <c r="D50" s="8" t="s">
        <v>59</v>
      </c>
      <c r="E50" s="6" t="s">
        <v>60</v>
      </c>
      <c r="F50" s="6" t="s">
        <v>61</v>
      </c>
      <c r="G50" s="6" t="s">
        <v>62</v>
      </c>
      <c r="H50" s="10" t="s">
        <v>128</v>
      </c>
    </row>
    <row r="51" spans="1:8" x14ac:dyDescent="0.25">
      <c r="A51" s="6" t="s">
        <v>8</v>
      </c>
      <c r="B51" s="8" t="s">
        <v>88</v>
      </c>
      <c r="C51" s="8" t="s">
        <v>58</v>
      </c>
      <c r="D51" s="8" t="s">
        <v>59</v>
      </c>
      <c r="E51" s="6" t="s">
        <v>60</v>
      </c>
      <c r="F51" s="6" t="s">
        <v>61</v>
      </c>
      <c r="G51" s="6" t="s">
        <v>62</v>
      </c>
      <c r="H51" s="10" t="s">
        <v>129</v>
      </c>
    </row>
    <row r="52" spans="1:8" x14ac:dyDescent="0.25">
      <c r="A52" s="6" t="s">
        <v>8</v>
      </c>
      <c r="B52" s="8" t="s">
        <v>88</v>
      </c>
      <c r="C52" s="8" t="s">
        <v>58</v>
      </c>
      <c r="D52" s="8" t="s">
        <v>59</v>
      </c>
      <c r="E52" s="6" t="s">
        <v>60</v>
      </c>
      <c r="F52" s="6" t="s">
        <v>61</v>
      </c>
      <c r="G52" s="6" t="s">
        <v>62</v>
      </c>
      <c r="H52" s="10" t="s">
        <v>130</v>
      </c>
    </row>
    <row r="53" spans="1:8" x14ac:dyDescent="0.25">
      <c r="A53" s="6" t="s">
        <v>8</v>
      </c>
      <c r="B53" s="8" t="s">
        <v>88</v>
      </c>
      <c r="C53" s="8" t="s">
        <v>58</v>
      </c>
      <c r="D53" s="8" t="s">
        <v>59</v>
      </c>
      <c r="E53" s="6" t="s">
        <v>60</v>
      </c>
      <c r="F53" s="6" t="s">
        <v>61</v>
      </c>
      <c r="G53" s="6" t="s">
        <v>62</v>
      </c>
      <c r="H53" s="10" t="s">
        <v>131</v>
      </c>
    </row>
    <row r="54" spans="1:8" x14ac:dyDescent="0.25">
      <c r="A54" s="6" t="s">
        <v>8</v>
      </c>
      <c r="B54" s="8" t="s">
        <v>88</v>
      </c>
      <c r="C54" s="8" t="s">
        <v>58</v>
      </c>
      <c r="D54" s="8" t="s">
        <v>59</v>
      </c>
      <c r="E54" s="6" t="s">
        <v>60</v>
      </c>
      <c r="F54" s="6" t="s">
        <v>61</v>
      </c>
      <c r="G54" s="6" t="s">
        <v>62</v>
      </c>
      <c r="H54" s="10" t="s">
        <v>132</v>
      </c>
    </row>
    <row r="55" spans="1:8" x14ac:dyDescent="0.25">
      <c r="A55" s="6" t="s">
        <v>8</v>
      </c>
      <c r="B55" s="8" t="s">
        <v>88</v>
      </c>
      <c r="C55" s="8" t="s">
        <v>58</v>
      </c>
      <c r="D55" s="8" t="s">
        <v>59</v>
      </c>
      <c r="E55" s="6" t="s">
        <v>60</v>
      </c>
      <c r="F55" s="6" t="s">
        <v>61</v>
      </c>
      <c r="G55" s="6" t="s">
        <v>62</v>
      </c>
      <c r="H55" s="10" t="s">
        <v>133</v>
      </c>
    </row>
    <row r="56" spans="1:8" x14ac:dyDescent="0.25">
      <c r="A56" s="8" t="s">
        <v>175</v>
      </c>
      <c r="B56" s="6" t="s">
        <v>164</v>
      </c>
      <c r="C56" s="8" t="s">
        <v>58</v>
      </c>
      <c r="D56" s="8" t="s">
        <v>65</v>
      </c>
      <c r="E56" s="6" t="s">
        <v>64</v>
      </c>
      <c r="F56" s="6" t="s">
        <v>70</v>
      </c>
      <c r="G56" s="6" t="s">
        <v>179</v>
      </c>
      <c r="H56" s="11" t="s">
        <v>165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8B47E-08E9-4DD4-A45C-9428CAA77C43}">
  <sheetPr>
    <tabColor rgb="FFFF0000"/>
  </sheetPr>
  <dimension ref="A1:H16"/>
  <sheetViews>
    <sheetView topLeftCell="A4" workbookViewId="0">
      <selection activeCell="C18" sqref="C18"/>
    </sheetView>
  </sheetViews>
  <sheetFormatPr baseColWidth="10" defaultRowHeight="15" x14ac:dyDescent="0.25"/>
  <cols>
    <col min="1" max="1" width="23.85546875" style="8" bestFit="1" customWidth="1"/>
    <col min="2" max="2" width="24.5703125" style="7" customWidth="1"/>
    <col min="4" max="4" width="5.5703125" style="1" bestFit="1" customWidth="1"/>
    <col min="7" max="7" width="15.42578125" style="13" bestFit="1" customWidth="1"/>
    <col min="8" max="8" width="121" style="1" customWidth="1"/>
  </cols>
  <sheetData>
    <row r="1" spans="1:8" x14ac:dyDescent="0.25">
      <c r="A1" s="6" t="s">
        <v>50</v>
      </c>
      <c r="B1" s="12" t="s">
        <v>51</v>
      </c>
      <c r="C1" s="6" t="s">
        <v>52</v>
      </c>
      <c r="D1" s="6" t="s">
        <v>53</v>
      </c>
      <c r="E1" s="6" t="s">
        <v>54</v>
      </c>
      <c r="F1" s="6" t="s">
        <v>55</v>
      </c>
      <c r="G1" s="12" t="s">
        <v>56</v>
      </c>
      <c r="H1" s="9" t="s">
        <v>57</v>
      </c>
    </row>
    <row r="2" spans="1:8" ht="120" x14ac:dyDescent="0.25">
      <c r="A2" s="8" t="s">
        <v>173</v>
      </c>
      <c r="B2" s="7" t="s">
        <v>172</v>
      </c>
      <c r="C2" s="8" t="s">
        <v>58</v>
      </c>
      <c r="D2" s="8" t="s">
        <v>59</v>
      </c>
      <c r="E2" s="6" t="s">
        <v>60</v>
      </c>
      <c r="F2" s="6" t="s">
        <v>72</v>
      </c>
      <c r="G2" s="12" t="s">
        <v>62</v>
      </c>
      <c r="H2" s="1" t="s">
        <v>149</v>
      </c>
    </row>
    <row r="3" spans="1:8" x14ac:dyDescent="0.25">
      <c r="A3" s="8" t="s">
        <v>173</v>
      </c>
      <c r="B3" s="8" t="s">
        <v>147</v>
      </c>
      <c r="C3" s="8" t="s">
        <v>58</v>
      </c>
      <c r="D3" s="8" t="s">
        <v>59</v>
      </c>
      <c r="E3" s="6" t="s">
        <v>60</v>
      </c>
      <c r="F3" s="6" t="s">
        <v>72</v>
      </c>
      <c r="G3" s="12" t="s">
        <v>62</v>
      </c>
      <c r="H3" s="1" t="s">
        <v>148</v>
      </c>
    </row>
    <row r="4" spans="1:8" ht="105" x14ac:dyDescent="0.25">
      <c r="A4" s="8" t="s">
        <v>173</v>
      </c>
      <c r="B4" s="8" t="s">
        <v>150</v>
      </c>
      <c r="C4" s="8" t="s">
        <v>58</v>
      </c>
      <c r="D4" s="8" t="s">
        <v>59</v>
      </c>
      <c r="E4" s="6" t="s">
        <v>60</v>
      </c>
      <c r="F4" s="6" t="s">
        <v>72</v>
      </c>
      <c r="G4" s="12" t="s">
        <v>62</v>
      </c>
      <c r="H4" s="1" t="s">
        <v>151</v>
      </c>
    </row>
    <row r="5" spans="1:8" x14ac:dyDescent="0.25">
      <c r="A5" s="8" t="s">
        <v>173</v>
      </c>
      <c r="B5" s="8" t="s">
        <v>79</v>
      </c>
      <c r="C5" s="8" t="s">
        <v>58</v>
      </c>
      <c r="D5" s="8" t="s">
        <v>59</v>
      </c>
      <c r="E5" s="6" t="s">
        <v>60</v>
      </c>
      <c r="F5" s="6" t="s">
        <v>72</v>
      </c>
      <c r="G5" s="12" t="s">
        <v>62</v>
      </c>
      <c r="H5" s="1" t="s">
        <v>152</v>
      </c>
    </row>
    <row r="6" spans="1:8" ht="30" x14ac:dyDescent="0.25">
      <c r="A6" s="8" t="s">
        <v>153</v>
      </c>
      <c r="B6" s="8" t="s">
        <v>79</v>
      </c>
      <c r="C6" s="8" t="s">
        <v>58</v>
      </c>
      <c r="D6" s="8" t="s">
        <v>65</v>
      </c>
      <c r="E6" s="6" t="s">
        <v>64</v>
      </c>
      <c r="F6" s="6" t="s">
        <v>72</v>
      </c>
      <c r="G6" s="12" t="s">
        <v>174</v>
      </c>
      <c r="H6" s="1" t="s">
        <v>158</v>
      </c>
    </row>
    <row r="7" spans="1:8" x14ac:dyDescent="0.25">
      <c r="A7" s="8" t="s">
        <v>146</v>
      </c>
      <c r="B7" s="8" t="s">
        <v>79</v>
      </c>
      <c r="C7" s="8" t="s">
        <v>58</v>
      </c>
      <c r="D7" s="8" t="s">
        <v>59</v>
      </c>
      <c r="E7" s="6" t="s">
        <v>60</v>
      </c>
      <c r="F7" s="6" t="s">
        <v>72</v>
      </c>
      <c r="G7" s="12" t="s">
        <v>62</v>
      </c>
      <c r="H7" s="1" t="s">
        <v>154</v>
      </c>
    </row>
    <row r="8" spans="1:8" x14ac:dyDescent="0.25">
      <c r="A8" s="8" t="s">
        <v>146</v>
      </c>
      <c r="B8" s="8" t="s">
        <v>155</v>
      </c>
      <c r="C8" s="8" t="s">
        <v>58</v>
      </c>
      <c r="D8" s="8" t="s">
        <v>65</v>
      </c>
      <c r="E8" s="6" t="s">
        <v>69</v>
      </c>
      <c r="F8" s="6" t="s">
        <v>70</v>
      </c>
      <c r="G8" s="13" t="s">
        <v>71</v>
      </c>
      <c r="H8" s="1" t="s">
        <v>156</v>
      </c>
    </row>
    <row r="9" spans="1:8" x14ac:dyDescent="0.25">
      <c r="A9" s="8" t="s">
        <v>161</v>
      </c>
      <c r="B9" s="8" t="s">
        <v>155</v>
      </c>
      <c r="C9" s="8" t="s">
        <v>58</v>
      </c>
      <c r="D9" s="8" t="s">
        <v>65</v>
      </c>
      <c r="E9" s="6" t="s">
        <v>64</v>
      </c>
      <c r="F9" s="6" t="s">
        <v>72</v>
      </c>
      <c r="G9" s="13" t="s">
        <v>174</v>
      </c>
      <c r="H9" s="1" t="s">
        <v>160</v>
      </c>
    </row>
    <row r="10" spans="1:8" ht="30" x14ac:dyDescent="0.25">
      <c r="A10" s="8" t="s">
        <v>173</v>
      </c>
      <c r="B10" s="8" t="s">
        <v>162</v>
      </c>
      <c r="C10" s="8" t="s">
        <v>58</v>
      </c>
      <c r="D10" s="8" t="s">
        <v>65</v>
      </c>
      <c r="E10" s="6" t="s">
        <v>64</v>
      </c>
      <c r="F10" s="6" t="s">
        <v>70</v>
      </c>
      <c r="G10" s="13" t="s">
        <v>179</v>
      </c>
      <c r="H10" s="1" t="s">
        <v>163</v>
      </c>
    </row>
    <row r="11" spans="1:8" x14ac:dyDescent="0.25">
      <c r="A11" s="8" t="s">
        <v>166</v>
      </c>
      <c r="B11" s="8" t="s">
        <v>162</v>
      </c>
      <c r="C11" s="8" t="s">
        <v>58</v>
      </c>
      <c r="D11" s="8" t="s">
        <v>65</v>
      </c>
      <c r="E11" s="6" t="s">
        <v>64</v>
      </c>
      <c r="F11" s="6" t="s">
        <v>72</v>
      </c>
      <c r="G11" s="6" t="s">
        <v>174</v>
      </c>
      <c r="H11" s="1" t="s">
        <v>167</v>
      </c>
    </row>
    <row r="12" spans="1:8" x14ac:dyDescent="0.25">
      <c r="A12" s="8" t="s">
        <v>173</v>
      </c>
      <c r="B12" s="8" t="s">
        <v>170</v>
      </c>
      <c r="C12" s="8" t="s">
        <v>58</v>
      </c>
      <c r="D12" s="8" t="s">
        <v>58</v>
      </c>
      <c r="E12" s="6" t="s">
        <v>69</v>
      </c>
      <c r="F12" s="6" t="s">
        <v>70</v>
      </c>
      <c r="G12" s="13" t="s">
        <v>71</v>
      </c>
      <c r="H12" s="1" t="s">
        <v>171</v>
      </c>
    </row>
    <row r="13" spans="1:8" ht="30" x14ac:dyDescent="0.25">
      <c r="A13" s="8" t="s">
        <v>173</v>
      </c>
      <c r="B13" s="7" t="s">
        <v>164</v>
      </c>
      <c r="C13" s="8" t="s">
        <v>58</v>
      </c>
      <c r="D13" s="8" t="s">
        <v>59</v>
      </c>
      <c r="E13" s="6" t="s">
        <v>60</v>
      </c>
      <c r="F13" s="6" t="s">
        <v>72</v>
      </c>
      <c r="G13" s="12" t="s">
        <v>62</v>
      </c>
      <c r="H13" s="1" t="s">
        <v>184</v>
      </c>
    </row>
    <row r="14" spans="1:8" x14ac:dyDescent="0.25">
      <c r="A14" s="8" t="s">
        <v>173</v>
      </c>
      <c r="B14" s="7" t="s">
        <v>164</v>
      </c>
      <c r="C14" s="8" t="s">
        <v>58</v>
      </c>
      <c r="D14" s="8" t="s">
        <v>59</v>
      </c>
      <c r="E14" s="6" t="s">
        <v>60</v>
      </c>
      <c r="F14" s="6" t="s">
        <v>72</v>
      </c>
      <c r="G14" s="12" t="s">
        <v>62</v>
      </c>
      <c r="H14" s="1" t="s">
        <v>183</v>
      </c>
    </row>
    <row r="15" spans="1:8" ht="60" x14ac:dyDescent="0.25">
      <c r="A15" s="8" t="s">
        <v>173</v>
      </c>
      <c r="B15" s="7" t="s">
        <v>187</v>
      </c>
      <c r="C15" s="8" t="s">
        <v>58</v>
      </c>
      <c r="D15" s="8" t="s">
        <v>59</v>
      </c>
      <c r="E15" s="6" t="s">
        <v>60</v>
      </c>
      <c r="F15" s="6" t="s">
        <v>72</v>
      </c>
      <c r="G15" s="12" t="s">
        <v>62</v>
      </c>
      <c r="H15" s="1" t="s">
        <v>190</v>
      </c>
    </row>
    <row r="16" spans="1:8" ht="60" x14ac:dyDescent="0.25">
      <c r="A16" s="8" t="s">
        <v>173</v>
      </c>
      <c r="B16" s="7" t="s">
        <v>188</v>
      </c>
      <c r="C16" s="8" t="s">
        <v>58</v>
      </c>
      <c r="D16" s="8" t="s">
        <v>65</v>
      </c>
      <c r="E16" s="6" t="s">
        <v>64</v>
      </c>
      <c r="F16" s="6" t="s">
        <v>70</v>
      </c>
      <c r="G16" s="6" t="s">
        <v>174</v>
      </c>
      <c r="H16" s="1" t="s">
        <v>189</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EB435-5367-49EB-A688-24EC17C83E2C}">
  <sheetPr>
    <tabColor rgb="FFFF0000"/>
  </sheetPr>
  <dimension ref="A2:H7"/>
  <sheetViews>
    <sheetView workbookViewId="0">
      <selection activeCell="G6" sqref="G6"/>
    </sheetView>
  </sheetViews>
  <sheetFormatPr baseColWidth="10" defaultRowHeight="15" x14ac:dyDescent="0.25"/>
  <cols>
    <col min="1" max="1" width="16.5703125" style="8" bestFit="1" customWidth="1"/>
    <col min="2" max="2" width="15.140625" style="8" bestFit="1" customWidth="1"/>
    <col min="3" max="6" width="11.42578125" style="8"/>
    <col min="7" max="7" width="13.85546875" style="8" bestFit="1" customWidth="1"/>
    <col min="8" max="8" width="120.5703125" style="10" customWidth="1"/>
  </cols>
  <sheetData>
    <row r="2" spans="1:8" x14ac:dyDescent="0.25">
      <c r="A2" s="6" t="s">
        <v>50</v>
      </c>
      <c r="B2" s="6" t="s">
        <v>51</v>
      </c>
      <c r="C2" s="6" t="s">
        <v>52</v>
      </c>
      <c r="D2" s="6" t="s">
        <v>53</v>
      </c>
      <c r="E2" s="6" t="s">
        <v>54</v>
      </c>
      <c r="F2" s="6" t="s">
        <v>55</v>
      </c>
      <c r="G2" s="6" t="s">
        <v>56</v>
      </c>
      <c r="H2" s="9" t="s">
        <v>57</v>
      </c>
    </row>
    <row r="3" spans="1:8" ht="45" x14ac:dyDescent="0.25">
      <c r="A3" s="6" t="s">
        <v>79</v>
      </c>
      <c r="B3" s="6" t="s">
        <v>82</v>
      </c>
      <c r="C3" s="8" t="s">
        <v>58</v>
      </c>
      <c r="D3" s="8" t="s">
        <v>65</v>
      </c>
      <c r="E3" s="6" t="s">
        <v>64</v>
      </c>
      <c r="F3" s="6" t="s">
        <v>72</v>
      </c>
      <c r="G3" s="6" t="s">
        <v>80</v>
      </c>
      <c r="H3" s="9" t="s">
        <v>81</v>
      </c>
    </row>
    <row r="4" spans="1:8" ht="60" x14ac:dyDescent="0.25">
      <c r="A4" s="8" t="s">
        <v>79</v>
      </c>
      <c r="B4" s="8" t="s">
        <v>3</v>
      </c>
      <c r="C4" s="8" t="s">
        <v>58</v>
      </c>
      <c r="D4" s="8" t="s">
        <v>65</v>
      </c>
      <c r="E4" s="6" t="s">
        <v>64</v>
      </c>
      <c r="F4" s="6" t="s">
        <v>72</v>
      </c>
      <c r="G4" s="8" t="s">
        <v>83</v>
      </c>
      <c r="H4" s="10" t="s">
        <v>84</v>
      </c>
    </row>
    <row r="5" spans="1:8" ht="60" x14ac:dyDescent="0.25">
      <c r="A5" s="8" t="s">
        <v>79</v>
      </c>
      <c r="B5" s="6" t="s">
        <v>68</v>
      </c>
      <c r="C5" s="8" t="s">
        <v>58</v>
      </c>
      <c r="D5" s="8" t="s">
        <v>59</v>
      </c>
      <c r="E5" s="6" t="s">
        <v>60</v>
      </c>
      <c r="F5" s="6" t="s">
        <v>72</v>
      </c>
      <c r="G5" s="6" t="s">
        <v>62</v>
      </c>
      <c r="H5" s="10" t="s">
        <v>85</v>
      </c>
    </row>
    <row r="6" spans="1:8" ht="60" x14ac:dyDescent="0.25">
      <c r="A6" s="8" t="s">
        <v>79</v>
      </c>
      <c r="B6" s="8" t="s">
        <v>145</v>
      </c>
      <c r="C6" s="8" t="s">
        <v>58</v>
      </c>
      <c r="D6" s="8" t="s">
        <v>59</v>
      </c>
      <c r="E6" s="6" t="s">
        <v>60</v>
      </c>
      <c r="F6" s="6" t="s">
        <v>72</v>
      </c>
      <c r="G6" s="6" t="s">
        <v>62</v>
      </c>
      <c r="H6" s="1" t="s">
        <v>178</v>
      </c>
    </row>
    <row r="7" spans="1:8" ht="45" x14ac:dyDescent="0.25">
      <c r="A7" s="8" t="s">
        <v>79</v>
      </c>
      <c r="B7" s="6" t="s">
        <v>68</v>
      </c>
      <c r="C7" s="8" t="s">
        <v>58</v>
      </c>
      <c r="D7" s="8" t="s">
        <v>59</v>
      </c>
      <c r="E7" s="6" t="s">
        <v>60</v>
      </c>
      <c r="F7" s="6" t="s">
        <v>72</v>
      </c>
      <c r="G7" s="6" t="s">
        <v>62</v>
      </c>
      <c r="H7" s="10" t="s">
        <v>180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5BA13-0CF1-4844-871E-AC162DBE5D4C}">
  <sheetPr>
    <tabColor rgb="FFFF0000"/>
  </sheetPr>
  <dimension ref="A1:H8"/>
  <sheetViews>
    <sheetView workbookViewId="0">
      <selection activeCell="B10" sqref="B10"/>
    </sheetView>
  </sheetViews>
  <sheetFormatPr baseColWidth="10" defaultRowHeight="15" x14ac:dyDescent="0.25"/>
  <cols>
    <col min="1" max="1" width="16.7109375" style="8" bestFit="1" customWidth="1"/>
    <col min="2" max="2" width="23.5703125" style="8" bestFit="1" customWidth="1"/>
    <col min="3" max="3" width="11.42578125" style="8"/>
    <col min="4" max="4" width="5.5703125" style="7" bestFit="1" customWidth="1"/>
    <col min="5" max="6" width="11.42578125" style="8"/>
    <col min="7" max="7" width="13.85546875" style="8" bestFit="1" customWidth="1"/>
    <col min="8" max="8" width="108.140625" style="1" customWidth="1"/>
  </cols>
  <sheetData>
    <row r="1" spans="1:8" x14ac:dyDescent="0.25">
      <c r="A1" s="6" t="s">
        <v>50</v>
      </c>
      <c r="B1" s="6" t="s">
        <v>51</v>
      </c>
      <c r="C1" s="6" t="s">
        <v>52</v>
      </c>
      <c r="D1" s="6" t="s">
        <v>53</v>
      </c>
      <c r="E1" s="6" t="s">
        <v>54</v>
      </c>
      <c r="F1" s="6" t="s">
        <v>55</v>
      </c>
      <c r="G1" s="6" t="s">
        <v>56</v>
      </c>
      <c r="H1" s="9" t="s">
        <v>57</v>
      </c>
    </row>
    <row r="2" spans="1:8" ht="30" x14ac:dyDescent="0.25">
      <c r="A2" s="6" t="s">
        <v>135</v>
      </c>
      <c r="B2" s="6" t="s">
        <v>136</v>
      </c>
      <c r="C2" s="8" t="s">
        <v>58</v>
      </c>
      <c r="D2" s="8" t="s">
        <v>65</v>
      </c>
      <c r="E2" s="6" t="s">
        <v>64</v>
      </c>
      <c r="F2" s="6" t="s">
        <v>72</v>
      </c>
      <c r="G2" s="6" t="s">
        <v>137</v>
      </c>
      <c r="H2" s="9" t="s">
        <v>141</v>
      </c>
    </row>
    <row r="3" spans="1:8" ht="45" x14ac:dyDescent="0.25">
      <c r="A3" s="6" t="s">
        <v>135</v>
      </c>
      <c r="B3" s="8" t="s">
        <v>138</v>
      </c>
      <c r="C3" s="8" t="s">
        <v>58</v>
      </c>
      <c r="D3" s="8" t="s">
        <v>59</v>
      </c>
      <c r="E3" s="8" t="s">
        <v>60</v>
      </c>
      <c r="F3" s="8" t="s">
        <v>72</v>
      </c>
      <c r="G3" s="8" t="s">
        <v>62</v>
      </c>
      <c r="H3" s="1" t="s">
        <v>139</v>
      </c>
    </row>
    <row r="4" spans="1:8" ht="60" x14ac:dyDescent="0.25">
      <c r="A4" s="6" t="s">
        <v>135</v>
      </c>
      <c r="B4" s="8" t="s">
        <v>32</v>
      </c>
      <c r="C4" s="8" t="s">
        <v>58</v>
      </c>
      <c r="D4" s="8" t="s">
        <v>59</v>
      </c>
      <c r="E4" s="8" t="s">
        <v>60</v>
      </c>
      <c r="F4" s="8" t="s">
        <v>72</v>
      </c>
      <c r="G4" s="8" t="s">
        <v>62</v>
      </c>
      <c r="H4" s="1" t="s">
        <v>140</v>
      </c>
    </row>
    <row r="5" spans="1:8" ht="45" x14ac:dyDescent="0.25">
      <c r="A5" s="6" t="s">
        <v>135</v>
      </c>
      <c r="B5" s="8" t="s">
        <v>41</v>
      </c>
      <c r="C5" s="8" t="s">
        <v>58</v>
      </c>
      <c r="D5" s="8" t="s">
        <v>65</v>
      </c>
      <c r="E5" s="6" t="s">
        <v>64</v>
      </c>
      <c r="F5" s="6" t="s">
        <v>72</v>
      </c>
      <c r="G5" s="6" t="s">
        <v>137</v>
      </c>
      <c r="H5" s="1" t="s">
        <v>142</v>
      </c>
    </row>
    <row r="6" spans="1:8" x14ac:dyDescent="0.25">
      <c r="A6" s="6" t="s">
        <v>135</v>
      </c>
      <c r="B6" s="8" t="s">
        <v>168</v>
      </c>
      <c r="C6" s="8" t="s">
        <v>58</v>
      </c>
      <c r="D6" s="8" t="s">
        <v>59</v>
      </c>
      <c r="E6" s="8" t="s">
        <v>60</v>
      </c>
      <c r="F6" s="8" t="s">
        <v>72</v>
      </c>
      <c r="G6" s="8" t="s">
        <v>62</v>
      </c>
      <c r="H6" s="1" t="s">
        <v>169</v>
      </c>
    </row>
    <row r="7" spans="1:8" x14ac:dyDescent="0.25">
      <c r="A7" s="8" t="s">
        <v>135</v>
      </c>
      <c r="B7" s="8" t="s">
        <v>185</v>
      </c>
      <c r="C7" s="8" t="s">
        <v>58</v>
      </c>
      <c r="D7" s="8" t="s">
        <v>58</v>
      </c>
      <c r="E7" s="8" t="s">
        <v>69</v>
      </c>
      <c r="F7" s="8" t="s">
        <v>70</v>
      </c>
      <c r="G7" s="8" t="s">
        <v>71</v>
      </c>
      <c r="H7" s="1" t="s">
        <v>186</v>
      </c>
    </row>
    <row r="8" spans="1:8" x14ac:dyDescent="0.25">
      <c r="A8" s="8" t="s">
        <v>135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8A1B5-8932-4395-BCE5-4948C10CB956}">
  <sheetPr>
    <tabColor rgb="FFFF0000"/>
  </sheetPr>
  <dimension ref="A1:H8"/>
  <sheetViews>
    <sheetView workbookViewId="0">
      <selection activeCell="H7" sqref="H7"/>
    </sheetView>
  </sheetViews>
  <sheetFormatPr baseColWidth="10" defaultRowHeight="15" x14ac:dyDescent="0.25"/>
  <cols>
    <col min="1" max="1" width="16.5703125" style="14" bestFit="1" customWidth="1"/>
    <col min="2" max="2" width="31.5703125" bestFit="1" customWidth="1"/>
    <col min="8" max="8" width="89.85546875" customWidth="1"/>
  </cols>
  <sheetData>
    <row r="1" spans="1:8" x14ac:dyDescent="0.25">
      <c r="A1" s="6" t="s">
        <v>50</v>
      </c>
      <c r="B1" s="6" t="s">
        <v>51</v>
      </c>
      <c r="C1" s="6" t="s">
        <v>52</v>
      </c>
      <c r="D1" s="6" t="s">
        <v>53</v>
      </c>
      <c r="E1" s="6" t="s">
        <v>54</v>
      </c>
      <c r="F1" s="6" t="s">
        <v>55</v>
      </c>
      <c r="G1" s="6" t="s">
        <v>56</v>
      </c>
      <c r="H1" s="12" t="s">
        <v>57</v>
      </c>
    </row>
    <row r="2" spans="1:8" ht="60" x14ac:dyDescent="0.25">
      <c r="A2" s="8" t="s">
        <v>181</v>
      </c>
      <c r="B2" s="16" t="s">
        <v>182</v>
      </c>
      <c r="C2" s="8" t="s">
        <v>58</v>
      </c>
      <c r="D2" s="8" t="s">
        <v>65</v>
      </c>
      <c r="E2" s="6" t="s">
        <v>64</v>
      </c>
      <c r="F2" s="16" t="s">
        <v>72</v>
      </c>
      <c r="G2" s="16" t="s">
        <v>83</v>
      </c>
      <c r="H2" s="15" t="s">
        <v>203</v>
      </c>
    </row>
    <row r="3" spans="1:8" ht="30" x14ac:dyDescent="0.25">
      <c r="A3" s="14" t="s">
        <v>181</v>
      </c>
      <c r="B3" t="s">
        <v>191</v>
      </c>
      <c r="C3" s="8" t="s">
        <v>58</v>
      </c>
      <c r="D3" s="8" t="s">
        <v>59</v>
      </c>
      <c r="E3" s="8" t="s">
        <v>60</v>
      </c>
      <c r="H3" s="1" t="s">
        <v>192</v>
      </c>
    </row>
    <row r="4" spans="1:8" x14ac:dyDescent="0.25">
      <c r="A4" s="14" t="s">
        <v>181</v>
      </c>
      <c r="B4" t="s">
        <v>193</v>
      </c>
      <c r="C4" s="8" t="s">
        <v>58</v>
      </c>
      <c r="D4" s="8" t="s">
        <v>65</v>
      </c>
      <c r="E4" s="6" t="s">
        <v>64</v>
      </c>
      <c r="H4" t="s">
        <v>199</v>
      </c>
    </row>
    <row r="5" spans="1:8" x14ac:dyDescent="0.25">
      <c r="A5" s="14" t="s">
        <v>181</v>
      </c>
      <c r="B5" t="s">
        <v>194</v>
      </c>
      <c r="C5" s="8" t="s">
        <v>58</v>
      </c>
      <c r="D5" s="8" t="s">
        <v>59</v>
      </c>
      <c r="E5" s="8" t="s">
        <v>60</v>
      </c>
      <c r="H5" t="s">
        <v>198</v>
      </c>
    </row>
    <row r="6" spans="1:8" x14ac:dyDescent="0.25">
      <c r="A6" s="14" t="s">
        <v>181</v>
      </c>
      <c r="B6" t="s">
        <v>195</v>
      </c>
      <c r="C6" s="8" t="s">
        <v>58</v>
      </c>
      <c r="D6" s="8" t="s">
        <v>65</v>
      </c>
      <c r="E6" s="6" t="s">
        <v>64</v>
      </c>
      <c r="H6" t="s">
        <v>197</v>
      </c>
    </row>
    <row r="7" spans="1:8" ht="75" x14ac:dyDescent="0.25">
      <c r="A7" s="14" t="s">
        <v>181</v>
      </c>
      <c r="B7" t="s">
        <v>196</v>
      </c>
      <c r="C7" s="8" t="s">
        <v>58</v>
      </c>
      <c r="D7" s="8" t="s">
        <v>59</v>
      </c>
      <c r="E7" s="8" t="s">
        <v>60</v>
      </c>
      <c r="H7" s="1" t="s">
        <v>202</v>
      </c>
    </row>
    <row r="8" spans="1:8" x14ac:dyDescent="0.25">
      <c r="A8" s="14" t="s">
        <v>181</v>
      </c>
      <c r="B8" t="s">
        <v>200</v>
      </c>
      <c r="C8" s="8" t="s">
        <v>58</v>
      </c>
      <c r="D8" s="8" t="s">
        <v>65</v>
      </c>
      <c r="E8" s="6" t="s">
        <v>64</v>
      </c>
      <c r="H8" t="s">
        <v>201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A6EE7-16B5-4C73-8714-D523693876EF}">
  <sheetPr>
    <tabColor rgb="FFFF0000"/>
  </sheetPr>
  <dimension ref="A1:H6"/>
  <sheetViews>
    <sheetView tabSelected="1" workbookViewId="0">
      <selection activeCell="G4" sqref="G4"/>
    </sheetView>
  </sheetViews>
  <sheetFormatPr baseColWidth="10" defaultRowHeight="15" x14ac:dyDescent="0.25"/>
  <cols>
    <col min="1" max="1" width="16.5703125" bestFit="1" customWidth="1"/>
    <col min="2" max="2" width="15.42578125" bestFit="1" customWidth="1"/>
    <col min="3" max="3" width="4.5703125" bestFit="1" customWidth="1"/>
    <col min="4" max="4" width="5.5703125" bestFit="1" customWidth="1"/>
    <col min="5" max="5" width="6.85546875" bestFit="1" customWidth="1"/>
    <col min="6" max="6" width="7" bestFit="1" customWidth="1"/>
    <col min="7" max="7" width="10.28515625" bestFit="1" customWidth="1"/>
    <col min="8" max="8" width="85.140625" style="1" customWidth="1"/>
  </cols>
  <sheetData>
    <row r="1" spans="1:8" x14ac:dyDescent="0.25">
      <c r="A1" s="6" t="s">
        <v>50</v>
      </c>
      <c r="B1" s="6" t="s">
        <v>51</v>
      </c>
      <c r="C1" s="6" t="s">
        <v>52</v>
      </c>
      <c r="D1" s="6" t="s">
        <v>53</v>
      </c>
      <c r="E1" s="6" t="s">
        <v>54</v>
      </c>
      <c r="F1" s="6" t="s">
        <v>55</v>
      </c>
      <c r="G1" s="6" t="s">
        <v>56</v>
      </c>
      <c r="H1" s="12" t="s">
        <v>57</v>
      </c>
    </row>
    <row r="2" spans="1:8" x14ac:dyDescent="0.25">
      <c r="A2" s="8" t="s">
        <v>63</v>
      </c>
      <c r="B2" s="16" t="s">
        <v>204</v>
      </c>
      <c r="C2" s="8" t="s">
        <v>58</v>
      </c>
      <c r="D2" s="8" t="s">
        <v>65</v>
      </c>
      <c r="E2" s="6" t="s">
        <v>64</v>
      </c>
      <c r="F2" s="16" t="s">
        <v>72</v>
      </c>
      <c r="G2" s="16" t="s">
        <v>83</v>
      </c>
      <c r="H2" s="15" t="s">
        <v>205</v>
      </c>
    </row>
    <row r="3" spans="1:8" x14ac:dyDescent="0.25">
      <c r="A3" s="8" t="s">
        <v>63</v>
      </c>
      <c r="B3" s="16" t="s">
        <v>146</v>
      </c>
      <c r="C3" s="8" t="s">
        <v>58</v>
      </c>
      <c r="D3" s="8" t="s">
        <v>65</v>
      </c>
      <c r="E3" s="6" t="s">
        <v>64</v>
      </c>
      <c r="F3" s="16" t="s">
        <v>72</v>
      </c>
      <c r="G3" s="16" t="s">
        <v>83</v>
      </c>
      <c r="H3" s="15" t="s">
        <v>205</v>
      </c>
    </row>
    <row r="4" spans="1:8" x14ac:dyDescent="0.25">
      <c r="A4" s="8" t="s">
        <v>63</v>
      </c>
      <c r="B4" s="16" t="s">
        <v>206</v>
      </c>
      <c r="C4" s="8" t="s">
        <v>58</v>
      </c>
      <c r="D4" s="8" t="s">
        <v>65</v>
      </c>
      <c r="E4" s="6" t="s">
        <v>64</v>
      </c>
      <c r="F4" s="16" t="s">
        <v>72</v>
      </c>
      <c r="G4" s="16" t="s">
        <v>83</v>
      </c>
      <c r="H4" s="15" t="s">
        <v>205</v>
      </c>
    </row>
    <row r="5" spans="1:8" x14ac:dyDescent="0.25">
      <c r="A5" s="8" t="s">
        <v>63</v>
      </c>
      <c r="B5" s="16" t="s">
        <v>207</v>
      </c>
      <c r="C5" s="8" t="s">
        <v>58</v>
      </c>
      <c r="D5" s="8" t="s">
        <v>65</v>
      </c>
      <c r="E5" s="6" t="s">
        <v>64</v>
      </c>
      <c r="F5" s="16" t="s">
        <v>72</v>
      </c>
      <c r="G5" s="16" t="s">
        <v>83</v>
      </c>
      <c r="H5" s="15" t="s">
        <v>205</v>
      </c>
    </row>
    <row r="6" spans="1:8" x14ac:dyDescent="0.25">
      <c r="A6" s="8" t="s">
        <v>63</v>
      </c>
      <c r="B6" s="16" t="s">
        <v>208</v>
      </c>
      <c r="C6" s="8" t="s">
        <v>58</v>
      </c>
      <c r="D6" s="8" t="s">
        <v>65</v>
      </c>
      <c r="E6" s="6" t="s">
        <v>64</v>
      </c>
      <c r="F6" s="16" t="s">
        <v>72</v>
      </c>
      <c r="G6" s="16" t="s">
        <v>83</v>
      </c>
      <c r="H6" s="15" t="s">
        <v>205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1CF682-82A7-4821-BF8C-AA66C43E8BCE}">
  <dimension ref="A2:I33"/>
  <sheetViews>
    <sheetView workbookViewId="0">
      <selection activeCell="I20" sqref="I20"/>
    </sheetView>
  </sheetViews>
  <sheetFormatPr baseColWidth="10" defaultRowHeight="15" x14ac:dyDescent="0.25"/>
  <cols>
    <col min="2" max="2" width="11.42578125" style="2"/>
    <col min="5" max="5" width="13.140625" bestFit="1" customWidth="1"/>
  </cols>
  <sheetData>
    <row r="2" spans="1:9" x14ac:dyDescent="0.25">
      <c r="I2" s="2"/>
    </row>
    <row r="3" spans="1:9" x14ac:dyDescent="0.25">
      <c r="C3" t="s">
        <v>41</v>
      </c>
      <c r="E3" t="s">
        <v>36</v>
      </c>
      <c r="G3" t="s">
        <v>40</v>
      </c>
      <c r="H3" t="s">
        <v>42</v>
      </c>
      <c r="I3" s="2">
        <v>50000</v>
      </c>
    </row>
    <row r="4" spans="1:9" x14ac:dyDescent="0.25">
      <c r="H4" t="s">
        <v>43</v>
      </c>
      <c r="I4" s="2">
        <v>80000</v>
      </c>
    </row>
    <row r="5" spans="1:9" x14ac:dyDescent="0.25">
      <c r="C5" t="s">
        <v>33</v>
      </c>
      <c r="E5" t="s">
        <v>39</v>
      </c>
      <c r="H5" t="s">
        <v>33</v>
      </c>
      <c r="I5" s="2">
        <v>0</v>
      </c>
    </row>
    <row r="6" spans="1:9" x14ac:dyDescent="0.25">
      <c r="C6" t="s">
        <v>34</v>
      </c>
      <c r="E6" t="s">
        <v>37</v>
      </c>
      <c r="I6" s="2"/>
    </row>
    <row r="7" spans="1:9" x14ac:dyDescent="0.25">
      <c r="C7" t="s">
        <v>35</v>
      </c>
      <c r="E7" t="s">
        <v>38</v>
      </c>
      <c r="I7" s="2"/>
    </row>
    <row r="8" spans="1:9" x14ac:dyDescent="0.25">
      <c r="G8" t="s">
        <v>38</v>
      </c>
      <c r="I8" s="2"/>
    </row>
    <row r="9" spans="1:9" x14ac:dyDescent="0.25">
      <c r="H9" t="s">
        <v>44</v>
      </c>
      <c r="I9" s="2">
        <v>120000</v>
      </c>
    </row>
    <row r="10" spans="1:9" x14ac:dyDescent="0.25">
      <c r="H10" t="s">
        <v>45</v>
      </c>
      <c r="I10" s="2">
        <v>180000</v>
      </c>
    </row>
    <row r="11" spans="1:9" x14ac:dyDescent="0.25">
      <c r="A11" t="s">
        <v>33</v>
      </c>
      <c r="H11" t="s">
        <v>35</v>
      </c>
      <c r="I11" s="2">
        <v>0</v>
      </c>
    </row>
    <row r="12" spans="1:9" x14ac:dyDescent="0.25">
      <c r="A12" s="4" t="s">
        <v>46</v>
      </c>
      <c r="B12" s="5">
        <v>50000</v>
      </c>
      <c r="I12" s="2"/>
    </row>
    <row r="13" spans="1:9" x14ac:dyDescent="0.25">
      <c r="A13" s="4" t="s">
        <v>47</v>
      </c>
      <c r="B13" s="5">
        <v>50000</v>
      </c>
    </row>
    <row r="14" spans="1:9" x14ac:dyDescent="0.25">
      <c r="A14" t="s">
        <v>36</v>
      </c>
      <c r="B14" s="2">
        <f>SUM(I3:I5) + B12</f>
        <v>180000</v>
      </c>
    </row>
    <row r="15" spans="1:9" x14ac:dyDescent="0.25">
      <c r="A15" t="s">
        <v>41</v>
      </c>
      <c r="B15" s="2">
        <v>0</v>
      </c>
    </row>
    <row r="20" spans="1:9" x14ac:dyDescent="0.25">
      <c r="C20" t="s">
        <v>41</v>
      </c>
      <c r="E20" t="s">
        <v>36</v>
      </c>
      <c r="G20" t="s">
        <v>40</v>
      </c>
      <c r="H20" t="s">
        <v>42</v>
      </c>
      <c r="I20" s="2">
        <v>50000</v>
      </c>
    </row>
    <row r="21" spans="1:9" x14ac:dyDescent="0.25">
      <c r="H21" t="s">
        <v>43</v>
      </c>
      <c r="I21" s="2">
        <v>80000</v>
      </c>
    </row>
    <row r="22" spans="1:9" x14ac:dyDescent="0.25">
      <c r="C22" t="s">
        <v>33</v>
      </c>
      <c r="D22">
        <v>25</v>
      </c>
      <c r="E22" t="s">
        <v>39</v>
      </c>
      <c r="H22" t="s">
        <v>33</v>
      </c>
      <c r="I22" s="2">
        <v>50000</v>
      </c>
    </row>
    <row r="23" spans="1:9" x14ac:dyDescent="0.25">
      <c r="C23" t="s">
        <v>34</v>
      </c>
      <c r="D23">
        <v>25</v>
      </c>
      <c r="E23" t="s">
        <v>37</v>
      </c>
      <c r="I23" s="2"/>
    </row>
    <row r="24" spans="1:9" x14ac:dyDescent="0.25">
      <c r="C24" t="s">
        <v>35</v>
      </c>
      <c r="D24">
        <v>50</v>
      </c>
      <c r="E24" t="s">
        <v>38</v>
      </c>
      <c r="I24" s="2"/>
    </row>
    <row r="25" spans="1:9" x14ac:dyDescent="0.25">
      <c r="G25" t="s">
        <v>38</v>
      </c>
      <c r="I25" s="2"/>
    </row>
    <row r="26" spans="1:9" x14ac:dyDescent="0.25">
      <c r="H26" t="s">
        <v>44</v>
      </c>
      <c r="I26" s="2">
        <v>120000</v>
      </c>
    </row>
    <row r="27" spans="1:9" x14ac:dyDescent="0.25">
      <c r="H27" t="s">
        <v>45</v>
      </c>
      <c r="I27" s="2">
        <v>180000</v>
      </c>
    </row>
    <row r="28" spans="1:9" x14ac:dyDescent="0.25">
      <c r="H28" t="s">
        <v>35</v>
      </c>
      <c r="I28" s="2">
        <v>0</v>
      </c>
    </row>
    <row r="30" spans="1:9" x14ac:dyDescent="0.25">
      <c r="A30" t="s">
        <v>41</v>
      </c>
    </row>
    <row r="31" spans="1:9" x14ac:dyDescent="0.25">
      <c r="A31" s="4" t="s">
        <v>46</v>
      </c>
      <c r="B31" s="5">
        <v>80000</v>
      </c>
    </row>
    <row r="32" spans="1:9" x14ac:dyDescent="0.25">
      <c r="A32" s="4" t="s">
        <v>47</v>
      </c>
      <c r="B32" s="5">
        <v>80000</v>
      </c>
      <c r="E32" s="3"/>
      <c r="I32" s="3"/>
    </row>
    <row r="33" spans="1:5" x14ac:dyDescent="0.25">
      <c r="A33" t="s">
        <v>36</v>
      </c>
      <c r="B33" s="2">
        <f>SUM(I20:I22)+SUM(I26:I28)+0 +B31</f>
        <v>560000</v>
      </c>
      <c r="E33" t="s">
        <v>48</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353B9A-6E8D-46D8-B856-D5F5A0A602CB}">
  <dimension ref="B2:M22"/>
  <sheetViews>
    <sheetView workbookViewId="0">
      <selection activeCell="H22" sqref="H22"/>
    </sheetView>
  </sheetViews>
  <sheetFormatPr baseColWidth="10" defaultRowHeight="15" x14ac:dyDescent="0.25"/>
  <cols>
    <col min="2" max="2" width="34.42578125" bestFit="1" customWidth="1"/>
    <col min="10" max="10" width="35.140625" bestFit="1" customWidth="1"/>
    <col min="13" max="13" width="30.140625" bestFit="1" customWidth="1"/>
  </cols>
  <sheetData>
    <row r="2" spans="2:13" x14ac:dyDescent="0.25">
      <c r="B2" t="s">
        <v>0</v>
      </c>
      <c r="J2" t="s">
        <v>8</v>
      </c>
      <c r="M2" t="s">
        <v>11</v>
      </c>
    </row>
    <row r="3" spans="2:13" x14ac:dyDescent="0.25">
      <c r="B3" t="s">
        <v>1</v>
      </c>
      <c r="J3" t="s">
        <v>9</v>
      </c>
      <c r="M3" t="s">
        <v>10</v>
      </c>
    </row>
    <row r="4" spans="2:13" x14ac:dyDescent="0.25">
      <c r="B4" t="s">
        <v>2</v>
      </c>
      <c r="J4" t="s">
        <v>12</v>
      </c>
      <c r="M4" t="s">
        <v>13</v>
      </c>
    </row>
    <row r="5" spans="2:13" x14ac:dyDescent="0.25">
      <c r="J5" t="s">
        <v>14</v>
      </c>
      <c r="M5" t="s">
        <v>19</v>
      </c>
    </row>
    <row r="6" spans="2:13" x14ac:dyDescent="0.25">
      <c r="B6" t="s">
        <v>3</v>
      </c>
    </row>
    <row r="7" spans="2:13" x14ac:dyDescent="0.25">
      <c r="B7" t="s">
        <v>4</v>
      </c>
      <c r="J7" t="s">
        <v>14</v>
      </c>
    </row>
    <row r="8" spans="2:13" x14ac:dyDescent="0.25">
      <c r="B8" t="s">
        <v>5</v>
      </c>
      <c r="J8" t="s">
        <v>15</v>
      </c>
      <c r="K8" t="s">
        <v>20</v>
      </c>
    </row>
    <row r="9" spans="2:13" x14ac:dyDescent="0.25">
      <c r="B9" t="s">
        <v>6</v>
      </c>
      <c r="J9" t="s">
        <v>16</v>
      </c>
      <c r="K9" t="s">
        <v>21</v>
      </c>
    </row>
    <row r="10" spans="2:13" x14ac:dyDescent="0.25">
      <c r="B10" t="s">
        <v>7</v>
      </c>
      <c r="J10" t="s">
        <v>17</v>
      </c>
      <c r="K10" t="s">
        <v>22</v>
      </c>
      <c r="L10" t="s">
        <v>23</v>
      </c>
    </row>
    <row r="11" spans="2:13" x14ac:dyDescent="0.25">
      <c r="J11" t="s">
        <v>18</v>
      </c>
      <c r="K11" t="s">
        <v>24</v>
      </c>
    </row>
    <row r="18" spans="2:13" x14ac:dyDescent="0.25">
      <c r="B18" t="s">
        <v>49</v>
      </c>
      <c r="J18" t="s">
        <v>25</v>
      </c>
    </row>
    <row r="19" spans="2:13" x14ac:dyDescent="0.25">
      <c r="J19" t="s">
        <v>26</v>
      </c>
      <c r="M19" t="s">
        <v>27</v>
      </c>
    </row>
    <row r="20" spans="2:13" x14ac:dyDescent="0.25">
      <c r="J20" t="s">
        <v>28</v>
      </c>
      <c r="M20" t="s">
        <v>29</v>
      </c>
    </row>
    <row r="21" spans="2:13" x14ac:dyDescent="0.25">
      <c r="M21" t="s">
        <v>30</v>
      </c>
    </row>
    <row r="22" spans="2:13" x14ac:dyDescent="0.25">
      <c r="M22" t="s">
        <v>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Fianza - Emision</vt:lpstr>
      <vt:lpstr>Fianza-Endoso</vt:lpstr>
      <vt:lpstr>Fianza - Reaseguro</vt:lpstr>
      <vt:lpstr>Fianza - Contacto</vt:lpstr>
      <vt:lpstr>Fianzas - Siniestro</vt:lpstr>
      <vt:lpstr>Fianza - Contabilidad</vt:lpstr>
      <vt:lpstr>EjemploCumulo</vt:lpstr>
      <vt:lpstr>Notas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dc:creator>
  <cp:lastModifiedBy>Michael</cp:lastModifiedBy>
  <dcterms:created xsi:type="dcterms:W3CDTF">2026-08-19T15:04:08Z</dcterms:created>
  <dcterms:modified xsi:type="dcterms:W3CDTF">2026-08-26T19:56:07Z</dcterms:modified>
</cp:coreProperties>
</file>