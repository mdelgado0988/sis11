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C41617BC-F68E-4893-8868-7AEB92B3CD6A}" xr6:coauthVersionLast="47" xr6:coauthVersionMax="47" xr10:uidLastSave="{00000000-0000-0000-0000-000000000000}"/>
  <bookViews>
    <workbookView xWindow="20370" yWindow="-120" windowWidth="29040" windowHeight="15720" xr2:uid="{29E951A4-280C-4344-B043-AA9C6C8BB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11" i="1" s="1"/>
  <c r="G11" i="1" s="1"/>
  <c r="F8" i="1"/>
  <c r="F10" i="1" s="1"/>
  <c r="F9" i="1"/>
  <c r="G9" i="1" s="1"/>
  <c r="E15" i="1"/>
  <c r="E17" i="1" s="1"/>
  <c r="E19" i="1" s="1"/>
  <c r="B11" i="1"/>
  <c r="E12" i="1"/>
  <c r="B17" i="1"/>
  <c r="B16" i="1"/>
  <c r="B12" i="1"/>
  <c r="E16" i="1" l="1"/>
  <c r="F17" i="1"/>
  <c r="G10" i="1"/>
  <c r="G12" i="1" s="1"/>
  <c r="B19" i="1"/>
  <c r="B20" i="1" l="1"/>
  <c r="F19" i="1"/>
  <c r="B21" i="1"/>
  <c r="E20" i="1"/>
  <c r="B22" i="1" l="1"/>
  <c r="B23" i="1" s="1"/>
  <c r="F20" i="1"/>
  <c r="F21" i="1" s="1"/>
</calcChain>
</file>

<file path=xl/sharedStrings.xml><?xml version="1.0" encoding="utf-8"?>
<sst xmlns="http://schemas.openxmlformats.org/spreadsheetml/2006/main" count="28" uniqueCount="17">
  <si>
    <t>emision</t>
  </si>
  <si>
    <t>fecha inicio</t>
  </si>
  <si>
    <t>fecha fin</t>
  </si>
  <si>
    <t>prima</t>
  </si>
  <si>
    <t>dias</t>
  </si>
  <si>
    <t>fecha efectiva de cancelacion</t>
  </si>
  <si>
    <t>dias devengados</t>
  </si>
  <si>
    <t>dias no devengados</t>
  </si>
  <si>
    <t>cancelacion</t>
  </si>
  <si>
    <t>Impuesto</t>
  </si>
  <si>
    <t>impuesto</t>
  </si>
  <si>
    <t>suma asegurada</t>
  </si>
  <si>
    <t>suma aseguarda a incrementar</t>
  </si>
  <si>
    <t>endoso de aumento/disminucion</t>
  </si>
  <si>
    <t>total</t>
  </si>
  <si>
    <t>Cancelación de la emisión</t>
  </si>
  <si>
    <t>Cancelación de la disminución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</si>
</sst>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4" fontId="0" fillId="0" borderId="0" xfId="0" applyNumberFormat="1"/>
    <xf numFmtId="43" fontId="0" fillId="0" borderId="0" xfId="1" applyFont="1"/>
    <xf numFmtId="0" fontId="1" fillId="0" borderId="0" xfId="0" applyFont="1" applyAlignment="1">
      <alignment horizontal="center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96DE-F85E-4E5E-8739-527A6E9D0C16}">
  <dimension ref="A6:K23"/>
  <sheetViews>
    <sheetView tabSelected="1" workbookViewId="0">
      <selection activeCell="G23" sqref="G23"/>
    </sheetView>
  </sheetViews>
  <sheetFormatPr baseColWidth="10" defaultRowHeight="15" x14ac:dyDescent="0.25"/>
  <cols>
    <col min="1" max="1" width="25" bestFit="1" customWidth="1"/>
    <col min="4" max="4" width="26" bestFit="1" customWidth="1"/>
  </cols>
  <sheetData>
    <row r="6" spans="1:11" x14ac:dyDescent="0.25">
      <c r="A6" s="2" t="s">
        <v>0</v>
      </c>
      <c r="D6" s="2" t="s">
        <v>13</v>
      </c>
    </row>
    <row r="7" spans="1:11" x14ac:dyDescent="0.25">
      <c r="A7" s="2" t="s">
        <v>11</v>
      </c>
      <c r="B7" s="3">
        <v>100000</v>
      </c>
      <c r="D7" t="s">
        <v>12</v>
      </c>
      <c r="E7" s="3">
        <v>-50000</v>
      </c>
    </row>
    <row r="8" spans="1:11" x14ac:dyDescent="0.25">
      <c r="A8" t="s">
        <v>1</v>
      </c>
      <c r="B8" s="1">
        <v>46023</v>
      </c>
      <c r="D8" t="s">
        <v>1</v>
      </c>
      <c r="E8" s="1">
        <v>46054</v>
      </c>
      <c r="F8">
        <f>+E7/B7</f>
        <v>-0.5</v>
      </c>
    </row>
    <row r="9" spans="1:11" x14ac:dyDescent="0.25">
      <c r="A9" t="s">
        <v>2</v>
      </c>
      <c r="B9" s="1">
        <v>46388</v>
      </c>
      <c r="D9" t="s">
        <v>2</v>
      </c>
      <c r="E9" s="1">
        <v>46388</v>
      </c>
      <c r="F9" s="4">
        <f>+E9-E8</f>
        <v>334</v>
      </c>
      <c r="G9">
        <f>+F9/365</f>
        <v>0.91506849315068495</v>
      </c>
    </row>
    <row r="10" spans="1:11" x14ac:dyDescent="0.25">
      <c r="A10" t="s">
        <v>3</v>
      </c>
      <c r="B10" s="3">
        <v>150</v>
      </c>
      <c r="D10" t="s">
        <v>3</v>
      </c>
      <c r="E10" s="3">
        <f>+ROUND( F10*G9,2)</f>
        <v>-68.63</v>
      </c>
      <c r="F10">
        <f>+F8*B10</f>
        <v>-75</v>
      </c>
      <c r="G10" s="3">
        <f>+B10+E10</f>
        <v>81.37</v>
      </c>
    </row>
    <row r="11" spans="1:11" x14ac:dyDescent="0.25">
      <c r="A11" t="s">
        <v>9</v>
      </c>
      <c r="B11">
        <f>B10*5%</f>
        <v>7.5</v>
      </c>
      <c r="D11" t="s">
        <v>9</v>
      </c>
      <c r="E11">
        <f>ROUND(E10*5%,2)</f>
        <v>-3.43</v>
      </c>
      <c r="F11" s="3"/>
      <c r="G11" s="4">
        <f>+B11+E11</f>
        <v>4.07</v>
      </c>
      <c r="H11" s="6"/>
      <c r="K11" s="1">
        <v>46388</v>
      </c>
    </row>
    <row r="12" spans="1:11" x14ac:dyDescent="0.25">
      <c r="A12" t="s">
        <v>4</v>
      </c>
      <c r="B12">
        <f>B9-B8</f>
        <v>365</v>
      </c>
      <c r="D12" t="s">
        <v>4</v>
      </c>
      <c r="E12">
        <f>E9-E8</f>
        <v>334</v>
      </c>
      <c r="G12" s="3">
        <f>SUM(G10:G11)</f>
        <v>85.44</v>
      </c>
    </row>
    <row r="14" spans="1:11" x14ac:dyDescent="0.25">
      <c r="A14" s="5" t="s">
        <v>15</v>
      </c>
      <c r="B14" s="5"/>
      <c r="D14" s="5" t="s">
        <v>16</v>
      </c>
      <c r="E14" s="5"/>
      <c r="F14" s="5"/>
      <c r="G14" s="5"/>
      <c r="H14" s="5"/>
    </row>
    <row r="15" spans="1:11" x14ac:dyDescent="0.25">
      <c r="A15" t="s">
        <v>5</v>
      </c>
      <c r="B15" s="1">
        <v>46174</v>
      </c>
      <c r="D15" t="s">
        <v>5</v>
      </c>
      <c r="E15" s="1">
        <f>B15</f>
        <v>46174</v>
      </c>
    </row>
    <row r="16" spans="1:11" x14ac:dyDescent="0.25">
      <c r="A16" t="s">
        <v>6</v>
      </c>
      <c r="B16">
        <f>B15-B8</f>
        <v>151</v>
      </c>
      <c r="D16" t="s">
        <v>6</v>
      </c>
      <c r="E16">
        <f>E15-E8</f>
        <v>120</v>
      </c>
    </row>
    <row r="17" spans="1:6" x14ac:dyDescent="0.25">
      <c r="A17" t="s">
        <v>7</v>
      </c>
      <c r="B17">
        <f>B9-B15</f>
        <v>214</v>
      </c>
      <c r="D17" t="s">
        <v>7</v>
      </c>
      <c r="E17">
        <f>E9-E15</f>
        <v>214</v>
      </c>
      <c r="F17">
        <f>+E17/E12</f>
        <v>0.64071856287425155</v>
      </c>
    </row>
    <row r="19" spans="1:6" x14ac:dyDescent="0.25">
      <c r="A19" t="s">
        <v>8</v>
      </c>
      <c r="B19">
        <f>ROUND((B10/B12)*B17,2)</f>
        <v>87.95</v>
      </c>
      <c r="D19" t="s">
        <v>8</v>
      </c>
      <c r="E19">
        <f>ROUND((E10/E12)*E17,2)</f>
        <v>-43.97</v>
      </c>
      <c r="F19">
        <f>+B19+E19</f>
        <v>43.980000000000004</v>
      </c>
    </row>
    <row r="20" spans="1:6" x14ac:dyDescent="0.25">
      <c r="A20" t="s">
        <v>10</v>
      </c>
      <c r="B20">
        <f>ROUND(B19*5%,2)</f>
        <v>4.4000000000000004</v>
      </c>
      <c r="D20" t="s">
        <v>10</v>
      </c>
      <c r="E20">
        <f>ROUND(E19*5%,2)</f>
        <v>-2.2000000000000002</v>
      </c>
      <c r="F20">
        <f>+B20+E20</f>
        <v>2.2000000000000002</v>
      </c>
    </row>
    <row r="21" spans="1:6" x14ac:dyDescent="0.25">
      <c r="A21" t="s">
        <v>14</v>
      </c>
      <c r="B21">
        <f>+B19+E19</f>
        <v>43.980000000000004</v>
      </c>
      <c r="D21" t="s">
        <v>14</v>
      </c>
      <c r="F21">
        <f>SUM(F19:F20)</f>
        <v>46.180000000000007</v>
      </c>
    </row>
    <row r="22" spans="1:6" x14ac:dyDescent="0.25">
      <c r="B22">
        <f>+B20+E20</f>
        <v>2.2000000000000002</v>
      </c>
    </row>
    <row r="23" spans="1:6" x14ac:dyDescent="0.25">
      <c r="B23">
        <f>SUM(B21:B22)</f>
        <v>46.180000000000007</v>
      </c>
    </row>
  </sheetData>
  <mergeCells count="2">
    <mergeCell ref="D14:H14"/>
    <mergeCell ref="A14:B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a6abae-64b1-4e63-a306-b9d1c75aa12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AD9BF665BEF34DA130572F59E9FB02" ma:contentTypeVersion="9" ma:contentTypeDescription="Crear nuevo documento." ma:contentTypeScope="" ma:versionID="13294a8e09781d8c6dc685cc36271987">
  <xsd:schema xmlns:xsd="http://www.w3.org/2001/XMLSchema" xmlns:xs="http://www.w3.org/2001/XMLSchema" xmlns:p="http://schemas.microsoft.com/office/2006/metadata/properties" xmlns:ns3="d7a6abae-64b1-4e63-a306-b9d1c75aa12c" targetNamespace="http://schemas.microsoft.com/office/2006/metadata/properties" ma:root="true" ma:fieldsID="34159b3cc2126f72f2bfa9841dbaa51f" ns3:_="">
    <xsd:import namespace="d7a6abae-64b1-4e63-a306-b9d1c75aa1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6abae-64b1-4e63-a306-b9d1c75aa1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63EFCA-81E8-4A37-9FD0-D6B2CCC39C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4CE750-A111-45CE-B135-8E7C0A55A939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d7a6abae-64b1-4e63-a306-b9d1c75aa12c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1FFA3D5-3D1B-46C7-AF8C-72D349A58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a6abae-64b1-4e63-a306-b9d1c75aa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Hernandez</dc:creator>
  <cp:lastModifiedBy>Michael</cp:lastModifiedBy>
  <dcterms:created xsi:type="dcterms:W3CDTF">2026-07-08T15:51:55Z</dcterms:created>
  <dcterms:modified xsi:type="dcterms:W3CDTF">2026-07-13T21:26:29Z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0x0101000CAD9BF665BEF34DA130572F59E9FB02</vt:lpwstr>
  </property>
</Properties>
</file>