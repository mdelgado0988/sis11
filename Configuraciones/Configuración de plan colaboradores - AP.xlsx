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Configuraciones\"/>
    </mc:Choice>
  </mc:AlternateContent>
  <xr:revisionPtr revIDLastSave="0" documentId="13_ncr:1_{70B9B6A3-9891-4EE9-84D1-EBA54541A777}" xr6:coauthVersionLast="47" xr6:coauthVersionMax="47" xr10:uidLastSave="{00000000-0000-0000-0000-000000000000}"/>
  <bookViews>
    <workbookView xWindow="20370" yWindow="-120" windowWidth="29040" windowHeight="15720" activeTab="3" xr2:uid="{8C4A79BD-8526-43CC-9E97-0B36DFED9D12}"/>
  </bookViews>
  <sheets>
    <sheet name="Tarifas" sheetId="1" r:id="rId1"/>
    <sheet name="Tarifasfor" sheetId="2" r:id="rId2"/>
    <sheet name="Maplanes" sheetId="3" r:id="rId3"/>
    <sheet name="Maplancob" sheetId="4" r:id="rId4"/>
    <sheet name="ccerti_pregunt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2" l="1" a="1"/>
  <c r="K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<sst xmlns="http://schemas.openxmlformats.org/spreadsheetml/2006/main" count="229" uniqueCount="148">
  <si>
    <t>cramo</t>
  </si>
  <si>
    <t>cplan</t>
  </si>
  <si>
    <t>ccober</t>
  </si>
  <si>
    <t>ctarifa</t>
  </si>
  <si>
    <t>cendoso</t>
  </si>
  <si>
    <t>wcia</t>
  </si>
  <si>
    <t>cusuario</t>
  </si>
  <si>
    <t>fingreso</t>
  </si>
  <si>
    <t>cusuariomod</t>
  </si>
  <si>
    <t>fmod</t>
  </si>
  <si>
    <t xml:space="preserve">EG6                 </t>
  </si>
  <si>
    <t>NULL</t>
  </si>
  <si>
    <t>id</t>
  </si>
  <si>
    <t>formula</t>
  </si>
  <si>
    <t>pprima</t>
  </si>
  <si>
    <t>mprima</t>
  </si>
  <si>
    <t>mdeducible</t>
  </si>
  <si>
    <t>mgastos</t>
  </si>
  <si>
    <t>ccoaseguro</t>
  </si>
  <si>
    <t>msumaaseg</t>
  </si>
  <si>
    <t>sumarecibo</t>
  </si>
  <si>
    <t>etiqueta</t>
  </si>
  <si>
    <t>mrecargo</t>
  </si>
  <si>
    <t>mdescuento</t>
  </si>
  <si>
    <t>iflexibilidad</t>
  </si>
  <si>
    <t>mdeduciblemin</t>
  </si>
  <si>
    <t>msubsuma</t>
  </si>
  <si>
    <t>mprimamin</t>
  </si>
  <si>
    <t>mcuota</t>
  </si>
  <si>
    <t>casegurabilidad</t>
  </si>
  <si>
    <t>pcoa_aseg</t>
  </si>
  <si>
    <t>{GetEdad}&gt;=18 AND {GetEdad} &lt;=29</t>
  </si>
  <si>
    <t>{TASAEG}</t>
  </si>
  <si>
    <t>{GetEdad}&gt;=30 AND {GetEdad} &lt;=39</t>
  </si>
  <si>
    <t>{GetEdad}&gt;=40 AND {GetEdad} &lt;=49</t>
  </si>
  <si>
    <t>{GetEdad}&gt;=50 AND {GetEdad} &lt;=59</t>
  </si>
  <si>
    <t>{GetEdad}&gt;=60 AND {GetEdad} &lt;=69</t>
  </si>
  <si>
    <t>{GetEdad}&gt;69</t>
  </si>
  <si>
    <t>1=1</t>
  </si>
  <si>
    <t>u_version</t>
  </si>
  <si>
    <t>cmoneda</t>
  </si>
  <si>
    <t>cagrupa</t>
  </si>
  <si>
    <t>xplan</t>
  </si>
  <si>
    <t>xplan_c</t>
  </si>
  <si>
    <t>xperiodo</t>
  </si>
  <si>
    <t>ncada</t>
  </si>
  <si>
    <t>breapol</t>
  </si>
  <si>
    <t>idevolucion</t>
  </si>
  <si>
    <t>cdisprod</t>
  </si>
  <si>
    <t>cejecta</t>
  </si>
  <si>
    <t>csupervisor</t>
  </si>
  <si>
    <t>istatplan</t>
  </si>
  <si>
    <t>xobserva</t>
  </si>
  <si>
    <t>qedadmax</t>
  </si>
  <si>
    <t>iperren</t>
  </si>
  <si>
    <t>itiporen</t>
  </si>
  <si>
    <t>bcom_plan</t>
  </si>
  <si>
    <t>bprimareno</t>
  </si>
  <si>
    <t>bcaldctoexp</t>
  </si>
  <si>
    <t>bgastos</t>
  </si>
  <si>
    <t>mgastosmin</t>
  </si>
  <si>
    <t>mgastosmax</t>
  </si>
  <si>
    <t>msuma</t>
  </si>
  <si>
    <t>bbs</t>
  </si>
  <si>
    <t>fultmod</t>
  </si>
  <si>
    <t>ccategoria</t>
  </si>
  <si>
    <t>cusuarioauto</t>
  </si>
  <si>
    <t>ccategoriaauto</t>
  </si>
  <si>
    <t>ccategoriamod</t>
  </si>
  <si>
    <t>descripcion</t>
  </si>
  <si>
    <t>Pgasto</t>
  </si>
  <si>
    <t>frepago</t>
  </si>
  <si>
    <t>plapago</t>
  </si>
  <si>
    <t>forpago</t>
  </si>
  <si>
    <t>oproceder</t>
  </si>
  <si>
    <t>tvigencias</t>
  </si>
  <si>
    <t>durameses</t>
  </si>
  <si>
    <t>duraanios</t>
  </si>
  <si>
    <t>MaxSAsegRen</t>
  </si>
  <si>
    <t>CPLAN_DESTINO</t>
  </si>
  <si>
    <t>I_DEPRECIACION</t>
  </si>
  <si>
    <t>P_DEPRECIACION</t>
  </si>
  <si>
    <t>itipoperplan</t>
  </si>
  <si>
    <t>indciclo</t>
  </si>
  <si>
    <t>indDat</t>
  </si>
  <si>
    <t>edsEsp</t>
  </si>
  <si>
    <t>isCargaM</t>
  </si>
  <si>
    <t>EG6</t>
  </si>
  <si>
    <t>!</t>
  </si>
  <si>
    <t>B/</t>
  </si>
  <si>
    <t>Enfermedades Graves Colaboradores</t>
  </si>
  <si>
    <t>yyyy</t>
  </si>
  <si>
    <t>V</t>
  </si>
  <si>
    <t>PLan especail para colaboradores</t>
  </si>
  <si>
    <t>A</t>
  </si>
  <si>
    <t>M</t>
  </si>
  <si>
    <t>ccobertura</t>
  </si>
  <si>
    <t>fdesde</t>
  </si>
  <si>
    <t>fhasta</t>
  </si>
  <si>
    <t>ccoberdepe</t>
  </si>
  <si>
    <t>pcomision</t>
  </si>
  <si>
    <t>mcomision</t>
  </si>
  <si>
    <t>brutcal</t>
  </si>
  <si>
    <t>bprocent</t>
  </si>
  <si>
    <t>bprocsal</t>
  </si>
  <si>
    <t>bobligatoria</t>
  </si>
  <si>
    <t>ccontrea</t>
  </si>
  <si>
    <t>cramorea</t>
  </si>
  <si>
    <t>cramoint</t>
  </si>
  <si>
    <t>ccoberturaint</t>
  </si>
  <si>
    <t>ccobercomp</t>
  </si>
  <si>
    <t>bimprime</t>
  </si>
  <si>
    <t>bcomision</t>
  </si>
  <si>
    <t>xexclusiones</t>
  </si>
  <si>
    <t>iestado</t>
  </si>
  <si>
    <t>orden_vigencia</t>
  </si>
  <si>
    <t>SA</t>
  </si>
  <si>
    <t>CGRUPO</t>
  </si>
  <si>
    <t>CGRUPO1</t>
  </si>
  <si>
    <t>CGRUPO2</t>
  </si>
  <si>
    <t>qcarencia</t>
  </si>
  <si>
    <t>ccarencia</t>
  </si>
  <si>
    <t>qduracion</t>
  </si>
  <si>
    <t>cduracion</t>
  </si>
  <si>
    <t>cprorrateo</t>
  </si>
  <si>
    <t>cvtoprimas</t>
  </si>
  <si>
    <t>SA_mae</t>
  </si>
  <si>
    <t>CGRUPO_mae</t>
  </si>
  <si>
    <t>CGRUPO1_mae</t>
  </si>
  <si>
    <t>CGRUPO2_mae</t>
  </si>
  <si>
    <t>SA_def_mae</t>
  </si>
  <si>
    <t>CGRUPO_def_mae</t>
  </si>
  <si>
    <t>CGRUPO1_def_mae</t>
  </si>
  <si>
    <t>CGRUPO2_def_mae</t>
  </si>
  <si>
    <t>SA_def</t>
  </si>
  <si>
    <t>CGRUPO_def</t>
  </si>
  <si>
    <t>CGRUPO1_def</t>
  </si>
  <si>
    <t>CGRUPO2_def</t>
  </si>
  <si>
    <t>CPLAN_OP</t>
  </si>
  <si>
    <t>norden</t>
  </si>
  <si>
    <t>IndDatsoAdic</t>
  </si>
  <si>
    <t>isgob</t>
  </si>
  <si>
    <t>O</t>
  </si>
  <si>
    <t>N</t>
  </si>
  <si>
    <t xml:space="preserve"> </t>
  </si>
  <si>
    <t xml:space="preserve">blanco </t>
  </si>
  <si>
    <t xml:space="preserve">query </t>
  </si>
  <si>
    <t>select * from Tarifasfor where ctarifa in (select ctarifa from Tarifas where cplan = 'EG6')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</si>
</sst>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C3A9-08E5-4F31-BAAD-BD9BADE1937B}">
  <dimension ref="A1:J3"/>
  <sheetViews>
    <sheetView workbookViewId="0">
      <selection activeCell="A2" sqref="A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</v>
      </c>
      <c r="B2" t="s">
        <v>10</v>
      </c>
      <c r="C2">
        <v>168</v>
      </c>
      <c r="D2">
        <v>3296</v>
      </c>
      <c r="E2">
        <v>36</v>
      </c>
      <c r="F2">
        <v>6</v>
      </c>
      <c r="G2">
        <v>1024189</v>
      </c>
      <c r="H2" s="1">
        <v>46203.39254479167</v>
      </c>
      <c r="I2" t="s">
        <v>11</v>
      </c>
      <c r="J2" t="s">
        <v>11</v>
      </c>
    </row>
    <row r="3" spans="1:10" x14ac:dyDescent="0.25">
      <c r="A3">
        <v>31</v>
      </c>
      <c r="B3" t="s">
        <v>10</v>
      </c>
      <c r="C3">
        <v>169</v>
      </c>
      <c r="D3">
        <v>3297</v>
      </c>
      <c r="E3">
        <v>36</v>
      </c>
      <c r="F3">
        <v>6</v>
      </c>
      <c r="G3">
        <v>1024189</v>
      </c>
      <c r="H3" s="1">
        <v>46203.402925347225</v>
      </c>
      <c r="I3" t="s">
        <v>11</v>
      </c>
      <c r="J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3983-8924-42A9-86A0-D8EF27A7BF91}">
  <dimension ref="A1:X13"/>
  <sheetViews>
    <sheetView workbookViewId="0">
      <selection activeCell="D2" sqref="D2"/>
    </sheetView>
  </sheetViews>
  <sheetFormatPr baseColWidth="10" defaultRowHeight="15" x14ac:dyDescent="0.25"/>
  <cols>
    <col min="3" max="3" width="40.85546875" customWidth="1"/>
    <col min="4" max="4" width="9.28515625" bestFit="1" customWidth="1"/>
  </cols>
  <sheetData>
    <row r="1" spans="1:24" x14ac:dyDescent="0.25">
      <c r="A1" t="s">
        <v>12</v>
      </c>
      <c r="B1" t="s">
        <v>3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>
        <v>5954</v>
      </c>
      <c r="B2">
        <v>3296</v>
      </c>
      <c r="C2" t="s">
        <v>31</v>
      </c>
      <c r="D2" t="s">
        <v>32</v>
      </c>
      <c r="E2">
        <v>13.55</v>
      </c>
      <c r="F2">
        <v>0</v>
      </c>
      <c r="G2">
        <v>0</v>
      </c>
      <c r="H2">
        <v>0</v>
      </c>
      <c r="I2">
        <v>7500</v>
      </c>
      <c r="J2">
        <v>1</v>
      </c>
      <c r="K2">
        <v>7.5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11</v>
      </c>
      <c r="U2">
        <v>1024189</v>
      </c>
      <c r="V2" s="1">
        <v>46203.39254479167</v>
      </c>
      <c r="W2">
        <v>1024189</v>
      </c>
      <c r="X2" s="1">
        <v>46203.401442974537</v>
      </c>
    </row>
    <row r="3" spans="1:24" x14ac:dyDescent="0.25">
      <c r="A3">
        <v>5955</v>
      </c>
      <c r="B3">
        <v>3296</v>
      </c>
      <c r="C3" t="s">
        <v>33</v>
      </c>
      <c r="D3" t="s">
        <v>32</v>
      </c>
      <c r="E3">
        <v>23.31</v>
      </c>
      <c r="F3">
        <v>0</v>
      </c>
      <c r="G3">
        <v>0</v>
      </c>
      <c r="H3">
        <v>0</v>
      </c>
      <c r="I3">
        <v>7500</v>
      </c>
      <c r="J3">
        <v>1</v>
      </c>
      <c r="K3">
        <v>7.5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11</v>
      </c>
      <c r="U3">
        <v>1024189</v>
      </c>
      <c r="V3" s="1">
        <v>46203.392730474538</v>
      </c>
      <c r="W3">
        <v>1024189</v>
      </c>
      <c r="X3" s="1">
        <v>46203.401577164354</v>
      </c>
    </row>
    <row r="4" spans="1:24" x14ac:dyDescent="0.25">
      <c r="A4">
        <v>5956</v>
      </c>
      <c r="B4">
        <v>3296</v>
      </c>
      <c r="C4" t="s">
        <v>34</v>
      </c>
      <c r="D4" t="s">
        <v>32</v>
      </c>
      <c r="E4">
        <v>45.27</v>
      </c>
      <c r="F4">
        <v>0</v>
      </c>
      <c r="G4">
        <v>0</v>
      </c>
      <c r="H4">
        <v>0</v>
      </c>
      <c r="I4">
        <v>7500</v>
      </c>
      <c r="J4">
        <v>1</v>
      </c>
      <c r="K4">
        <v>7.5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11</v>
      </c>
      <c r="U4">
        <v>1024189</v>
      </c>
      <c r="V4" s="1">
        <v>46203.392739351853</v>
      </c>
      <c r="W4">
        <v>1024189</v>
      </c>
      <c r="X4" s="1">
        <v>46203.402132951385</v>
      </c>
    </row>
    <row r="5" spans="1:24" x14ac:dyDescent="0.25">
      <c r="A5">
        <v>5957</v>
      </c>
      <c r="B5">
        <v>3296</v>
      </c>
      <c r="C5" t="s">
        <v>35</v>
      </c>
      <c r="D5" t="s">
        <v>32</v>
      </c>
      <c r="E5">
        <v>86.93</v>
      </c>
      <c r="F5">
        <v>0</v>
      </c>
      <c r="G5">
        <v>0</v>
      </c>
      <c r="H5">
        <v>0</v>
      </c>
      <c r="I5">
        <v>7500</v>
      </c>
      <c r="J5">
        <v>1</v>
      </c>
      <c r="K5">
        <v>7.5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11</v>
      </c>
      <c r="U5">
        <v>1024189</v>
      </c>
      <c r="V5" s="1">
        <v>46203.392820914349</v>
      </c>
      <c r="W5">
        <v>1024189</v>
      </c>
      <c r="X5" s="1">
        <v>46203.401719293979</v>
      </c>
    </row>
    <row r="6" spans="1:24" x14ac:dyDescent="0.25">
      <c r="A6">
        <v>5958</v>
      </c>
      <c r="B6">
        <v>3296</v>
      </c>
      <c r="C6" t="s">
        <v>36</v>
      </c>
      <c r="D6" t="s">
        <v>32</v>
      </c>
      <c r="E6">
        <v>135.9</v>
      </c>
      <c r="F6">
        <v>0</v>
      </c>
      <c r="G6">
        <v>0</v>
      </c>
      <c r="H6">
        <v>0</v>
      </c>
      <c r="I6">
        <v>7500</v>
      </c>
      <c r="J6">
        <v>1</v>
      </c>
      <c r="K6">
        <v>7.5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11</v>
      </c>
      <c r="U6">
        <v>1024189</v>
      </c>
      <c r="V6" s="1">
        <v>46203.392833761573</v>
      </c>
      <c r="W6">
        <v>1024189</v>
      </c>
      <c r="X6" s="1">
        <v>46203.40191443287</v>
      </c>
    </row>
    <row r="7" spans="1:24" x14ac:dyDescent="0.25">
      <c r="A7">
        <v>5959</v>
      </c>
      <c r="B7">
        <v>3296</v>
      </c>
      <c r="C7" t="s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e" cm="1">
        <f t="array" ref="K7">- La edad del ente supera el rango mÝnimo para poder asegurarlo.</f>
        <v>#NAME?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11</v>
      </c>
      <c r="U7">
        <v>1024189</v>
      </c>
      <c r="V7" s="1">
        <v>46203.392843865739</v>
      </c>
      <c r="W7">
        <v>1024189</v>
      </c>
      <c r="X7" s="1">
        <v>46203.396524502314</v>
      </c>
    </row>
    <row r="8" spans="1:24" x14ac:dyDescent="0.25">
      <c r="A8">
        <v>5960</v>
      </c>
      <c r="B8">
        <v>3297</v>
      </c>
      <c r="C8" t="s">
        <v>38</v>
      </c>
      <c r="D8" t="s">
        <v>32</v>
      </c>
      <c r="E8">
        <v>0</v>
      </c>
      <c r="F8">
        <v>0</v>
      </c>
      <c r="G8">
        <v>0</v>
      </c>
      <c r="H8">
        <v>0</v>
      </c>
      <c r="I8">
        <v>7500</v>
      </c>
      <c r="J8">
        <v>1</v>
      </c>
      <c r="K8">
        <v>7.5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11</v>
      </c>
      <c r="U8">
        <v>1024189</v>
      </c>
      <c r="V8" s="1">
        <v>46203.402925347225</v>
      </c>
      <c r="W8">
        <v>1024189</v>
      </c>
      <c r="X8" s="1">
        <v>46219.38473125</v>
      </c>
    </row>
    <row r="12" spans="1:24" x14ac:dyDescent="0.25">
      <c r="B12" t="s">
        <v>146</v>
      </c>
    </row>
    <row r="13" spans="1:24" x14ac:dyDescent="0.25">
      <c r="B13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F26F-9D36-477C-AB4A-737868C6A387}">
  <dimension ref="A1:BB2"/>
  <sheetViews>
    <sheetView workbookViewId="0">
      <selection activeCell="H37" sqref="H37"/>
    </sheetView>
  </sheetViews>
  <sheetFormatPr baseColWidth="10" defaultRowHeight="15" x14ac:dyDescent="0.25"/>
  <sheetData>
    <row r="1" spans="1:54" x14ac:dyDescent="0.25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17</v>
      </c>
      <c r="Y1" t="s">
        <v>60</v>
      </c>
      <c r="Z1" t="s">
        <v>61</v>
      </c>
      <c r="AA1" t="s">
        <v>62</v>
      </c>
      <c r="AB1" t="s">
        <v>63</v>
      </c>
      <c r="AC1" t="s">
        <v>7</v>
      </c>
      <c r="AD1" t="s">
        <v>6</v>
      </c>
      <c r="AE1" t="s">
        <v>64</v>
      </c>
      <c r="AF1" t="s">
        <v>65</v>
      </c>
      <c r="AG1" t="s">
        <v>66</v>
      </c>
      <c r="AH1" t="s">
        <v>67</v>
      </c>
      <c r="AI1" t="s">
        <v>8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84</v>
      </c>
      <c r="BA1" t="s">
        <v>85</v>
      </c>
      <c r="BB1" t="s">
        <v>86</v>
      </c>
    </row>
    <row r="2" spans="1:54" x14ac:dyDescent="0.25">
      <c r="A2">
        <v>31</v>
      </c>
      <c r="B2" t="s">
        <v>87</v>
      </c>
      <c r="C2" t="s">
        <v>88</v>
      </c>
      <c r="D2" t="s">
        <v>89</v>
      </c>
      <c r="E2">
        <v>1</v>
      </c>
      <c r="F2" t="s">
        <v>90</v>
      </c>
      <c r="G2" t="s">
        <v>87</v>
      </c>
      <c r="H2" t="s">
        <v>91</v>
      </c>
      <c r="I2">
        <v>1</v>
      </c>
      <c r="J2">
        <v>0</v>
      </c>
      <c r="K2">
        <v>0</v>
      </c>
      <c r="L2">
        <v>-1</v>
      </c>
      <c r="M2">
        <v>-1</v>
      </c>
      <c r="N2">
        <v>-1</v>
      </c>
      <c r="O2" t="s">
        <v>92</v>
      </c>
      <c r="P2" t="s">
        <v>93</v>
      </c>
      <c r="Q2">
        <v>0</v>
      </c>
      <c r="R2">
        <v>1</v>
      </c>
      <c r="S2" t="s">
        <v>94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s="1">
        <v>46203.390262962967</v>
      </c>
      <c r="AD2">
        <v>1024189</v>
      </c>
      <c r="AE2" s="1">
        <v>46203.390262962967</v>
      </c>
      <c r="AF2">
        <v>0</v>
      </c>
      <c r="AG2" t="s">
        <v>11</v>
      </c>
      <c r="AH2" t="s">
        <v>11</v>
      </c>
      <c r="AI2" t="s">
        <v>11</v>
      </c>
      <c r="AJ2" t="s">
        <v>11</v>
      </c>
      <c r="AK2" t="s">
        <v>11</v>
      </c>
      <c r="AL2">
        <v>0</v>
      </c>
      <c r="AM2" t="s">
        <v>95</v>
      </c>
      <c r="AN2">
        <v>0</v>
      </c>
      <c r="AO2">
        <v>16</v>
      </c>
      <c r="AP2">
        <v>0</v>
      </c>
      <c r="AQ2" t="s">
        <v>94</v>
      </c>
      <c r="AR2">
        <v>0</v>
      </c>
      <c r="AS2">
        <v>0</v>
      </c>
      <c r="AT2" t="s">
        <v>11</v>
      </c>
      <c r="AU2" t="s">
        <v>11</v>
      </c>
      <c r="AV2" t="s">
        <v>11</v>
      </c>
      <c r="AW2">
        <v>0</v>
      </c>
      <c r="AX2" t="s">
        <v>11</v>
      </c>
      <c r="AY2">
        <v>0</v>
      </c>
      <c r="AZ2">
        <v>0</v>
      </c>
      <c r="BA2">
        <v>1</v>
      </c>
      <c r="B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4710-A311-4224-9BCA-2A1AB4636C67}">
  <dimension ref="A1:BG3"/>
  <sheetViews>
    <sheetView tabSelected="1" workbookViewId="0">
      <selection activeCell="F14" sqref="F14"/>
    </sheetView>
  </sheetViews>
  <sheetFormatPr baseColWidth="10" defaultRowHeight="15" x14ac:dyDescent="0.25"/>
  <sheetData>
    <row r="1" spans="1:59" x14ac:dyDescent="0.25">
      <c r="A1" t="s">
        <v>0</v>
      </c>
      <c r="B1" t="s">
        <v>1</v>
      </c>
      <c r="C1" t="s">
        <v>96</v>
      </c>
      <c r="D1" t="s">
        <v>39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52</v>
      </c>
      <c r="V1" t="s">
        <v>113</v>
      </c>
      <c r="W1" t="s">
        <v>114</v>
      </c>
      <c r="X1" t="s">
        <v>7</v>
      </c>
      <c r="Y1" t="s">
        <v>6</v>
      </c>
      <c r="Z1" t="s">
        <v>65</v>
      </c>
      <c r="AA1" t="s">
        <v>66</v>
      </c>
      <c r="AB1" t="s">
        <v>67</v>
      </c>
      <c r="AC1" t="s">
        <v>64</v>
      </c>
      <c r="AD1" t="s">
        <v>8</v>
      </c>
      <c r="AE1" t="s">
        <v>68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138</v>
      </c>
      <c r="BD1" t="s">
        <v>139</v>
      </c>
      <c r="BE1" t="s">
        <v>140</v>
      </c>
      <c r="BF1" t="s">
        <v>141</v>
      </c>
      <c r="BG1" t="s">
        <v>21</v>
      </c>
    </row>
    <row r="2" spans="1:59" x14ac:dyDescent="0.25">
      <c r="A2">
        <v>31</v>
      </c>
      <c r="B2" t="s">
        <v>87</v>
      </c>
      <c r="C2">
        <v>168</v>
      </c>
      <c r="D2" t="s">
        <v>88</v>
      </c>
      <c r="E2" s="1">
        <v>43704</v>
      </c>
      <c r="F2" s="1">
        <v>72990</v>
      </c>
      <c r="G2">
        <v>-1</v>
      </c>
      <c r="H2">
        <v>0</v>
      </c>
      <c r="I2">
        <v>0</v>
      </c>
      <c r="J2">
        <v>1</v>
      </c>
      <c r="K2">
        <v>1</v>
      </c>
      <c r="L2">
        <v>1</v>
      </c>
      <c r="M2" t="s">
        <v>142</v>
      </c>
      <c r="N2">
        <v>7</v>
      </c>
      <c r="O2">
        <v>400</v>
      </c>
      <c r="P2">
        <v>21</v>
      </c>
      <c r="Q2">
        <v>0</v>
      </c>
      <c r="R2">
        <v>0</v>
      </c>
      <c r="S2">
        <v>1</v>
      </c>
      <c r="T2">
        <v>1</v>
      </c>
      <c r="W2" t="s">
        <v>92</v>
      </c>
      <c r="X2" s="1">
        <v>46203.390581863423</v>
      </c>
      <c r="Y2">
        <v>1024189</v>
      </c>
      <c r="Z2">
        <v>0</v>
      </c>
      <c r="AA2">
        <v>0</v>
      </c>
      <c r="AB2">
        <v>0</v>
      </c>
      <c r="AC2" s="1">
        <v>46203</v>
      </c>
      <c r="AD2">
        <v>1024189</v>
      </c>
      <c r="AE2">
        <v>0</v>
      </c>
      <c r="AF2">
        <v>1</v>
      </c>
      <c r="AG2">
        <v>74</v>
      </c>
      <c r="AH2">
        <v>-1</v>
      </c>
      <c r="AI2">
        <v>-1</v>
      </c>
      <c r="AJ2">
        <v>-1</v>
      </c>
      <c r="AK2">
        <v>-1</v>
      </c>
      <c r="AL2" t="s">
        <v>143</v>
      </c>
      <c r="AM2">
        <v>-1</v>
      </c>
      <c r="AN2" t="s">
        <v>143</v>
      </c>
      <c r="AO2">
        <v>1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BC2">
        <v>-1</v>
      </c>
      <c r="BD2">
        <v>1</v>
      </c>
      <c r="BE2">
        <v>0</v>
      </c>
      <c r="BF2">
        <v>-1</v>
      </c>
      <c r="BG2" t="s">
        <v>11</v>
      </c>
    </row>
    <row r="3" spans="1:59" x14ac:dyDescent="0.25">
      <c r="A3">
        <v>31</v>
      </c>
      <c r="B3" t="s">
        <v>87</v>
      </c>
      <c r="C3">
        <v>169</v>
      </c>
      <c r="D3" t="s">
        <v>88</v>
      </c>
      <c r="E3" s="1">
        <v>43360</v>
      </c>
      <c r="F3" s="1">
        <v>72946</v>
      </c>
      <c r="G3">
        <v>-1</v>
      </c>
      <c r="H3">
        <v>0</v>
      </c>
      <c r="I3">
        <v>0</v>
      </c>
      <c r="J3">
        <v>1</v>
      </c>
      <c r="K3">
        <v>1</v>
      </c>
      <c r="L3">
        <v>1</v>
      </c>
      <c r="M3" t="s">
        <v>142</v>
      </c>
      <c r="N3">
        <v>7</v>
      </c>
      <c r="O3">
        <v>400</v>
      </c>
      <c r="P3">
        <v>0</v>
      </c>
      <c r="Q3">
        <v>0</v>
      </c>
      <c r="R3" t="s">
        <v>144</v>
      </c>
      <c r="S3">
        <v>1</v>
      </c>
      <c r="T3">
        <v>0</v>
      </c>
      <c r="W3" t="s">
        <v>92</v>
      </c>
      <c r="X3" s="1">
        <v>46203.390541203706</v>
      </c>
      <c r="Y3">
        <v>1024189</v>
      </c>
      <c r="Z3">
        <v>0</v>
      </c>
      <c r="AA3">
        <v>0</v>
      </c>
      <c r="AB3">
        <v>0</v>
      </c>
      <c r="AC3" s="1">
        <v>46203</v>
      </c>
      <c r="AD3">
        <v>1024189</v>
      </c>
      <c r="AE3">
        <v>0</v>
      </c>
      <c r="AF3">
        <v>1</v>
      </c>
      <c r="AG3">
        <v>74</v>
      </c>
      <c r="AH3">
        <v>-1</v>
      </c>
      <c r="AI3">
        <v>-1</v>
      </c>
      <c r="AJ3">
        <v>-1</v>
      </c>
      <c r="AK3">
        <v>-1</v>
      </c>
      <c r="AL3" t="s">
        <v>143</v>
      </c>
      <c r="AM3">
        <v>-1</v>
      </c>
      <c r="AN3" t="s">
        <v>143</v>
      </c>
      <c r="AO3">
        <v>1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BC3">
        <v>-1</v>
      </c>
      <c r="BD3">
        <v>2</v>
      </c>
      <c r="BE3">
        <v>0</v>
      </c>
      <c r="BF3">
        <v>-1</v>
      </c>
      <c r="BG3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5A96-2E63-44B9-941E-8F2F4961E130}">
  <dimension ref="A1"/>
  <sheetViews>
    <sheetView workbookViewId="0"/>
  </sheetViews>
  <sheetFormatPr baseColWidth="10" defaultRowHeight="15" x14ac:dyDescent="0.25"/>
  <sheetData>
    <row r="1" spans="1:1" x14ac:dyDescent="0.25">
      <c r="A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Tarifas</vt:lpstr>
      <vt:lpstr>Tarifasfor</vt:lpstr>
      <vt:lpstr>Maplanes</vt:lpstr>
      <vt:lpstr>Maplancob</vt:lpstr>
      <vt:lpstr>ccerti_preguntas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Wong</dc:creator>
  <cp:lastModifiedBy>Michael</cp:lastModifiedBy>
  <dcterms:created xsi:type="dcterms:W3CDTF">2026-09-29T21:06:26Z</dcterms:created>
  <dcterms:modified xsi:type="dcterms:W3CDTF">2026-10-26T16:35:26Z</dcterms:modified>
</cp:coreProperties>
</file>